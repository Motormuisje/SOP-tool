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GT Register" sheetId="2" state="visible" r:id="rId2"/>
    <sheet xmlns:r="http://schemas.openxmlformats.org/officeDocument/2006/relationships" name="R1 Baseline Parity" sheetId="3" state="visible" r:id="rId3"/>
    <sheet xmlns:r="http://schemas.openxmlformats.org/officeDocument/2006/relationships" name="R2 Calc Chains" sheetId="4" state="visible" r:id="rId4"/>
    <sheet xmlns:r="http://schemas.openxmlformats.org/officeDocument/2006/relationships" name="R4 Invariants" sheetId="5" state="visible" r:id="rId5"/>
    <sheet xmlns:r="http://schemas.openxmlformats.org/officeDocument/2006/relationships" name="R3 Mirror Edits" sheetId="6" state="visible" r:id="rId6"/>
    <sheet xmlns:r="http://schemas.openxmlformats.org/officeDocument/2006/relationships" name="Functional Checks A-I" sheetId="7" state="visible" r:id="rId7"/>
    <sheet xmlns:r="http://schemas.openxmlformats.org/officeDocument/2006/relationships" name="Engine Checks" sheetId="8" state="visible" r:id="rId8"/>
    <sheet xmlns:r="http://schemas.openxmlformats.org/officeDocument/2006/relationships" name="Scenario Sessions" sheetId="9" state="visible" r:id="rId9"/>
    <sheet xmlns:r="http://schemas.openxmlformats.org/officeDocument/2006/relationships" name="Human Tests A-K" sheetId="10" state="visible" r:id="rId10"/>
    <sheet xmlns:r="http://schemas.openxmlformats.org/officeDocument/2006/relationships" name="Deviation Register" sheetId="11" state="visible" r:id="rId11"/>
    <sheet xmlns:r="http://schemas.openxmlformats.org/officeDocument/2006/relationships" name="Sign-off" sheetId="12" state="visible" r:id="rId12"/>
  </sheets>
  <definedNames>
    <definedName name="_xlnm._FilterDatabase" localSheetId="1" hidden="1">'GT Register'!$A$4:$N$4</definedName>
    <definedName name="_xlnm._FilterDatabase" localSheetId="2" hidden="1">'R1 Baseline Parity'!$A$4:$P$4</definedName>
    <definedName name="_xlnm._FilterDatabase" localSheetId="3" hidden="1">'R2 Calc Chains'!$A$4:$M$4</definedName>
    <definedName name="_xlnm._FilterDatabase" localSheetId="4" hidden="1">'R4 Invariants'!$A$4:$J$4</definedName>
    <definedName name="_xlnm._FilterDatabase" localSheetId="5" hidden="1">'R3 Mirror Edits'!$A$4:$O$4</definedName>
    <definedName name="_xlnm._FilterDatabase" localSheetId="6" hidden="1">'Functional Checks A-I'!$A$4:$K$4</definedName>
    <definedName name="_xlnm._FilterDatabase" localSheetId="7" hidden="1">'Engine Checks'!$A$4:$I$4</definedName>
    <definedName name="_xlnm._FilterDatabase" localSheetId="8" hidden="1">'Scenario Sessions'!$A$4:$I$4</definedName>
    <definedName name="_xlnm._FilterDatabase" localSheetId="9" hidden="1">'Human Tests A-K'!$A$4:$I$4</definedName>
    <definedName name="_xlnm._FilterDatabase" localSheetId="10" hidden="1">'Deviation Register'!$A$4:$N$4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00"/>
    <numFmt numFmtId="165" formatCode="#,##0.000000"/>
  </numFmts>
  <fonts count="9">
    <font>
      <name val="Calibri"/>
      <family val="2"/>
      <color theme="1"/>
      <sz val="11"/>
      <scheme val="minor"/>
    </font>
    <font>
      <b val="1"/>
      <color rgb="001B2430"/>
      <sz val="18"/>
    </font>
    <font>
      <name val="Calibri"/>
      <i val="1"/>
      <color rgb="005C6B7A"/>
      <sz val="10"/>
    </font>
    <font>
      <name val="Calibri"/>
      <b val="1"/>
      <color rgb="001B2430"/>
      <sz val="11"/>
    </font>
    <font>
      <b val="1"/>
      <sz val="10"/>
    </font>
    <font>
      <name val="Calibri"/>
      <b val="1"/>
      <color rgb="00FFFFFF"/>
      <sz val="10"/>
    </font>
    <font>
      <name val="Calibri"/>
      <b val="1"/>
      <color rgb="001B2430"/>
      <sz val="16"/>
    </font>
    <font>
      <name val="Calibri"/>
      <sz val="10"/>
    </font>
    <font>
      <b val="1"/>
    </font>
  </fonts>
  <fills count="10">
    <fill>
      <patternFill/>
    </fill>
    <fill>
      <patternFill patternType="gray125"/>
    </fill>
    <fill>
      <patternFill patternType="solid">
        <fgColor rgb="00FFFBEA"/>
      </patternFill>
    </fill>
    <fill>
      <patternFill patternType="solid">
        <fgColor rgb="002F5D8A"/>
      </patternFill>
    </fill>
    <fill>
      <patternFill patternType="solid">
        <fgColor rgb="00DCEFE5"/>
      </patternFill>
    </fill>
    <fill>
      <patternFill patternType="solid">
        <fgColor rgb="00F6DCD7"/>
      </patternFill>
    </fill>
    <fill>
      <patternFill patternType="solid">
        <fgColor rgb="00FBEFD0"/>
      </patternFill>
    </fill>
    <fill>
      <patternFill patternType="solid">
        <fgColor rgb="00E6E8EB"/>
      </patternFill>
    </fill>
    <fill>
      <patternFill patternType="solid">
        <fgColor rgb="00FFFFFF"/>
      </patternFill>
    </fill>
    <fill>
      <patternFill patternType="solid">
        <fgColor rgb="00E3ECF5"/>
      </patternFill>
    </fill>
  </fills>
  <borders count="7">
    <border>
      <left/>
      <right/>
      <top/>
      <bottom/>
      <diagonal/>
    </border>
    <border>
      <left style="thin">
        <color rgb="00D5DBE3"/>
      </left>
      <right style="thin">
        <color rgb="00D5DBE3"/>
      </right>
      <top style="thin">
        <color rgb="00D5DBE3"/>
      </top>
      <bottom style="thin">
        <color rgb="00D5DBE3"/>
      </bottom>
    </border>
    <border>
      <left/>
      <right/>
      <top style="thin">
        <color rgb="00D5DBE3"/>
      </top>
      <bottom/>
      <diagonal/>
    </border>
    <border>
      <left/>
      <right style="thin">
        <color rgb="00D5DBE3"/>
      </right>
      <top style="thin">
        <color rgb="00D5DBE3"/>
      </top>
      <bottom/>
      <diagonal/>
    </border>
    <border>
      <left/>
      <right/>
      <top style="thin">
        <color rgb="00D5DBE3"/>
      </top>
      <bottom style="thin">
        <color rgb="00D5DBE3"/>
      </bottom>
      <diagonal/>
    </border>
    <border>
      <left/>
      <right style="thin">
        <color rgb="00D5DBE3"/>
      </right>
      <top style="thin">
        <color rgb="00D5DBE3"/>
      </top>
      <bottom style="thin">
        <color rgb="00D5DBE3"/>
      </bottom>
      <diagonal/>
    </border>
    <border/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2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5" fillId="3" borderId="1" applyAlignment="1" pivotButton="0" quotePrefix="0" xfId="0">
      <alignment horizontal="center" vertical="top" wrapText="1"/>
    </xf>
    <xf numFmtId="0" fontId="0" fillId="0" borderId="1" pivotButton="0" quotePrefix="0" xfId="0"/>
    <xf numFmtId="0" fontId="8" fillId="0" borderId="0" pivotButton="0" quotePrefix="0" xfId="0"/>
    <xf numFmtId="0" fontId="8" fillId="0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6" fillId="0" borderId="0" pivotButton="0" quotePrefix="0" xfId="0"/>
    <xf numFmtId="0" fontId="7" fillId="2" borderId="1" applyAlignment="1" pivotButton="0" quotePrefix="0" xfId="0">
      <alignment vertical="top" wrapText="1"/>
    </xf>
    <xf numFmtId="3" fontId="7" fillId="2" borderId="1" applyAlignment="1" pivotButton="0" quotePrefix="0" xfId="0">
      <alignment vertical="top" wrapText="1"/>
    </xf>
    <xf numFmtId="164" fontId="7" fillId="2" borderId="1" applyAlignment="1" pivotButton="0" quotePrefix="0" xfId="0">
      <alignment vertical="top" wrapText="1"/>
    </xf>
    <xf numFmtId="10" fontId="7" fillId="0" borderId="1" applyAlignment="1" pivotButton="0" quotePrefix="0" xfId="0">
      <alignment vertical="top" wrapText="1"/>
    </xf>
    <xf numFmtId="0" fontId="7" fillId="0" borderId="1" applyAlignment="1" pivotButton="0" quotePrefix="0" xfId="0">
      <alignment horizontal="center" vertical="top" wrapText="1"/>
    </xf>
    <xf numFmtId="0" fontId="3" fillId="9" borderId="1" pivotButton="0" quotePrefix="0" xfId="0"/>
    <xf numFmtId="0" fontId="0" fillId="0" borderId="4" pivotButton="0" quotePrefix="0" xfId="0"/>
    <xf numFmtId="0" fontId="0" fillId="0" borderId="5" pivotButton="0" quotePrefix="0" xfId="0"/>
    <xf numFmtId="0" fontId="7" fillId="0" borderId="1" applyAlignment="1" pivotButton="0" quotePrefix="0" xfId="0">
      <alignment vertical="top" wrapText="1"/>
    </xf>
    <xf numFmtId="165" fontId="7" fillId="2" borderId="1" applyAlignment="1" pivotButton="0" quotePrefix="0" xfId="0">
      <alignment vertical="top" wrapText="1"/>
    </xf>
    <xf numFmtId="165" fontId="7" fillId="0" borderId="1" applyAlignment="1" pivotButton="0" quotePrefix="0" xfId="0">
      <alignment vertical="top" wrapText="1"/>
    </xf>
    <xf numFmtId="0" fontId="7" fillId="2" borderId="1" applyAlignment="1" pivotButton="0" quotePrefix="0" xfId="0">
      <alignment horizontal="center" vertical="top" wrapText="1"/>
    </xf>
    <xf numFmtId="0" fontId="0" fillId="2" borderId="1" pivotButton="0" quotePrefix="0" xfId="0"/>
    <xf numFmtId="0" fontId="7" fillId="0" borderId="6" applyAlignment="1" pivotButton="0" quotePrefix="0" xfId="0">
      <alignment vertical="top" wrapText="1"/>
    </xf>
  </cellXfs>
  <cellStyles count="1">
    <cellStyle name="Normal" xfId="0" builtinId="0" hidden="0"/>
  </cellStyles>
  <dxfs count="4">
    <dxf>
      <fill>
        <patternFill patternType="solid">
          <fgColor rgb="00F6DCD7"/>
        </patternFill>
      </fill>
    </dxf>
    <dxf>
      <fill>
        <patternFill patternType="solid">
          <fgColor rgb="00DCEFE5"/>
        </patternFill>
      </fill>
    </dxf>
    <dxf>
      <fill>
        <patternFill patternType="solid">
          <fgColor rgb="00FBEFD0"/>
        </patternFill>
      </fill>
    </dxf>
    <dxf>
      <fill>
        <patternFill patternType="solid">
          <fgColor rgb="00E6E8EB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F5D8A"/>
    <outlinePr summaryBelow="1" summaryRight="1"/>
    <pageSetUpPr/>
  </sheetPr>
  <dimension ref="B2:H5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4" customWidth="1" min="2" max="2"/>
    <col width="70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2">
      <c r="B2" s="1" t="inlineStr">
        <is>
          <t>APEX RAINIER — VALIDATION &amp; TEST WORKBOOK</t>
        </is>
      </c>
    </row>
    <row r="3">
      <c r="B3" s="2" t="inlineStr">
        <is>
          <t>Manual validation against a ground truth · QA sign-off workbook · English edition, August 2026</t>
        </is>
      </c>
    </row>
    <row r="5">
      <c r="B5" s="3" t="inlineStr">
        <is>
          <t>Run identification</t>
        </is>
      </c>
    </row>
    <row r="6">
      <c r="B6" s="4" t="inlineStr">
        <is>
          <t>App commit (git rev-parse --short HEAD)</t>
        </is>
      </c>
      <c r="C6" s="5" t="inlineStr"/>
    </row>
    <row r="7">
      <c r="B7" s="4" t="inlineStr">
        <is>
          <t>Site / edition</t>
        </is>
      </c>
      <c r="C7" s="5" t="inlineStr">
        <is>
          <t>Main repo (NLX1) · Winterswijk (NLK1) · Ankerkade (NLU1)</t>
        </is>
      </c>
    </row>
    <row r="8">
      <c r="B8" s="4" t="inlineStr">
        <is>
          <t>Ground-truth ID(s) (see GT Register)</t>
        </is>
      </c>
      <c r="C8" s="5" t="inlineStr"/>
    </row>
    <row r="9">
      <c r="B9" s="4" t="inlineStr">
        <is>
          <t>Planning month · actuals months</t>
        </is>
      </c>
      <c r="C9" s="5" t="inlineStr"/>
    </row>
    <row r="10">
      <c r="B10" s="4" t="inlineStr">
        <is>
          <t>Validator</t>
        </is>
      </c>
      <c r="C10" s="5" t="inlineStr"/>
    </row>
    <row r="11">
      <c r="B11" s="4" t="inlineStr">
        <is>
          <t>Developer</t>
        </is>
      </c>
      <c r="C11" s="5" t="inlineStr"/>
    </row>
    <row r="12">
      <c r="B12" s="4" t="inlineStr">
        <is>
          <t>Reviewer</t>
        </is>
      </c>
      <c r="C12" s="5" t="inlineStr"/>
    </row>
    <row r="13">
      <c r="B13" s="4" t="inlineStr">
        <is>
          <t>Date started · date finished</t>
        </is>
      </c>
      <c r="C13" s="5" t="inlineStr"/>
    </row>
    <row r="14">
      <c r="B14" s="4" t="inlineStr">
        <is>
          <t>Evidence folder</t>
        </is>
      </c>
      <c r="C14" s="5" t="inlineStr">
        <is>
          <t>validatie\&lt;yyyy-mm-dd&gt;_&lt;commit&gt;_&lt;GT-ID&gt;\  (outside the repository)</t>
        </is>
      </c>
    </row>
    <row r="16">
      <c r="B16" s="3" t="inlineStr">
        <is>
          <t>How to use this workbook</t>
        </is>
      </c>
    </row>
    <row r="17" ht="30" customHeight="1">
      <c r="B17" s="6" t="inlineStr">
        <is>
          <t>1. Freeze the ground truth first (GT Register): the client Excel after a full macro run, hashed with SHA-256. Without a GT-ID there is no validation round.</t>
        </is>
      </c>
    </row>
    <row r="18" ht="30" customHeight="1">
      <c r="B18" s="6" t="inlineStr">
        <is>
          <t>2. Run the round in order R0 → R7 (see the strategy document docs/validatiestrategie.md). Sheets are named after the step they belong to.</t>
        </is>
      </c>
    </row>
    <row r="19" ht="30" customHeight="1">
      <c r="B19" s="6" t="inlineStr">
        <is>
          <t>3. Yellow cells are inputs for the tester. White cells with formulas (Δ, match, counts) compute themselves.</t>
        </is>
      </c>
    </row>
    <row r="20" ht="30" customHeight="1">
      <c r="B20" s="6" t="inlineStr">
        <is>
          <t>4. Every check gets a Status: PASS / FAIL / BLOCKED / N/A (TODO = not yet executed). Every FAIL gets a row in the Deviation Register with a class A–F and a decision.</t>
        </is>
      </c>
    </row>
    <row r="21" ht="30" customHeight="1">
      <c r="B21" s="6" t="inlineStr">
        <is>
          <t>5. Tolerances: volumes/hours exact (abs 1e-6 or rel 1e-9), money 0.01, FTE 0.001. Never widen a tolerance to make a round pass — document instead.</t>
        </is>
      </c>
    </row>
    <row r="22" ht="30" customHeight="1">
      <c r="B22" s="6" t="inlineStr">
        <is>
          <t>6. Evidence: screenshot or export file name per check, stored in the evidence folder. Screenshots of Excel must show the formula bar (see docs/screenshot-richtlijnen.md).</t>
        </is>
      </c>
    </row>
    <row r="23" ht="30" customHeight="1">
      <c r="B23" s="6" t="inlineStr">
        <is>
          <t>7. Tool: python tools/ground_truth_diff.py &lt;GT&gt;.xlsm &lt;export&gt;.xlsx --md report.md --out deviations.xlsx  (exit 0 = all within tolerance).</t>
        </is>
      </c>
    </row>
    <row r="25">
      <c r="B25" s="3" t="inlineStr">
        <is>
          <t>Pass criteria for release</t>
        </is>
      </c>
    </row>
    <row r="26" ht="28" customHeight="1">
      <c r="B26" s="6" t="inlineStr">
        <is>
          <t>✔ Baseline parity (R1) on ≥ 1 GT-A per site: 0 open class-A findings; all other cells Δ=0 or covered by an erratum (B) or a taken decision (C).</t>
        </is>
      </c>
    </row>
    <row r="27" ht="28" customHeight="1">
      <c r="B27" s="6" t="inlineStr">
        <is>
          <t>✔ Calculation chains (R2): five chains K1–K5 filled in; hand value = app value = Excel value, or the difference is classified and decided.</t>
        </is>
      </c>
    </row>
    <row r="28" ht="28" customHeight="1">
      <c r="B28" s="6" t="inlineStr">
        <is>
          <t>✔ Invariants (R4): I1–I11 without open deviations.</t>
        </is>
      </c>
    </row>
    <row r="29" ht="28" customHeight="1">
      <c r="B29" s="6" t="inlineStr">
        <is>
          <t>✔ python main.py --test and pytest tests --ignore=tests/browser green on the released commit (golden baseline = regression guard).</t>
        </is>
      </c>
    </row>
    <row r="30" ht="28" customHeight="1">
      <c r="B30" s="6" t="inlineStr">
        <is>
          <t>✔ Sign-off by validator and developer; by the client for class-C decisions.</t>
        </is>
      </c>
    </row>
    <row r="32">
      <c r="B32" s="3" t="inlineStr">
        <is>
          <t>Status summary (live)</t>
        </is>
      </c>
    </row>
    <row r="33">
      <c r="B33" s="7" t="inlineStr">
        <is>
          <t>Sheet</t>
        </is>
      </c>
      <c r="C33" s="7" t="inlineStr">
        <is>
          <t>Checks</t>
        </is>
      </c>
      <c r="D33" s="7" t="inlineStr">
        <is>
          <t>PASS</t>
        </is>
      </c>
      <c r="E33" s="7" t="inlineStr">
        <is>
          <t>FAIL</t>
        </is>
      </c>
      <c r="F33" s="7" t="inlineStr">
        <is>
          <t>BLOCKED</t>
        </is>
      </c>
      <c r="G33" s="7" t="inlineStr">
        <is>
          <t>N/A</t>
        </is>
      </c>
      <c r="H33" s="7" t="inlineStr">
        <is>
          <t>TODO</t>
        </is>
      </c>
    </row>
    <row r="34">
      <c r="B34" s="8" t="inlineStr">
        <is>
          <t>R1 Baseline Parity</t>
        </is>
      </c>
      <c r="C34" s="8">
        <f>COUNTA('R1 Baseline Parity'!N5:N20)-COUNTIF('R1 Baseline Parity'!N5:N20,"")</f>
        <v/>
      </c>
      <c r="D34" s="8">
        <f>COUNTIF('R1 Baseline Parity'!N5:N20,"PASS")</f>
        <v/>
      </c>
      <c r="E34" s="8">
        <f>COUNTIF('R1 Baseline Parity'!N5:N20,"FAIL")</f>
        <v/>
      </c>
      <c r="F34" s="8">
        <f>COUNTIF('R1 Baseline Parity'!N5:N20,"BLOCKED")</f>
        <v/>
      </c>
      <c r="G34" s="8">
        <f>COUNTIF('R1 Baseline Parity'!N5:N20,"N/A")</f>
        <v/>
      </c>
      <c r="H34" s="8">
        <f>COUNTIF('R1 Baseline Parity'!N5:N20,"TODO")</f>
        <v/>
      </c>
    </row>
    <row r="35">
      <c r="B35" s="8" t="inlineStr">
        <is>
          <t>R2 Calc Chains</t>
        </is>
      </c>
      <c r="C35" s="8">
        <f>COUNTA('R2 Calc Chains'!K5:K63)-COUNTIF('R2 Calc Chains'!K5:K63,"")</f>
        <v/>
      </c>
      <c r="D35" s="8">
        <f>COUNTIF('R2 Calc Chains'!K5:K63,"PASS")</f>
        <v/>
      </c>
      <c r="E35" s="8">
        <f>COUNTIF('R2 Calc Chains'!K5:K63,"FAIL")</f>
        <v/>
      </c>
      <c r="F35" s="8">
        <f>COUNTIF('R2 Calc Chains'!K5:K63,"BLOCKED")</f>
        <v/>
      </c>
      <c r="G35" s="8">
        <f>COUNTIF('R2 Calc Chains'!K5:K63,"N/A")</f>
        <v/>
      </c>
      <c r="H35" s="8">
        <f>COUNTIF('R2 Calc Chains'!K5:K63,"TODO")</f>
        <v/>
      </c>
    </row>
    <row r="36">
      <c r="B36" s="8" t="inlineStr">
        <is>
          <t>R4 Invariants</t>
        </is>
      </c>
      <c r="C36" s="8">
        <f>COUNTA('R4 Invariants'!I5:I38)-COUNTIF('R4 Invariants'!I5:I38,"")</f>
        <v/>
      </c>
      <c r="D36" s="8">
        <f>COUNTIF('R4 Invariants'!I5:I38,"PASS")</f>
        <v/>
      </c>
      <c r="E36" s="8">
        <f>COUNTIF('R4 Invariants'!I5:I38,"FAIL")</f>
        <v/>
      </c>
      <c r="F36" s="8">
        <f>COUNTIF('R4 Invariants'!I5:I38,"BLOCKED")</f>
        <v/>
      </c>
      <c r="G36" s="8">
        <f>COUNTIF('R4 Invariants'!I5:I38,"N/A")</f>
        <v/>
      </c>
      <c r="H36" s="8">
        <f>COUNTIF('R4 Invariants'!I5:I38,"TODO")</f>
        <v/>
      </c>
    </row>
    <row r="37">
      <c r="B37" s="8" t="inlineStr">
        <is>
          <t>R3 Mirror Edits</t>
        </is>
      </c>
      <c r="C37" s="8">
        <f>COUNTA('R3 Mirror Edits'!L5:L17)-COUNTIF('R3 Mirror Edits'!L5:L17,"")</f>
        <v/>
      </c>
      <c r="D37" s="8">
        <f>COUNTIF('R3 Mirror Edits'!L5:L17,"PASS")</f>
        <v/>
      </c>
      <c r="E37" s="8">
        <f>COUNTIF('R3 Mirror Edits'!L5:L17,"FAIL")</f>
        <v/>
      </c>
      <c r="F37" s="8">
        <f>COUNTIF('R3 Mirror Edits'!L5:L17,"BLOCKED")</f>
        <v/>
      </c>
      <c r="G37" s="8">
        <f>COUNTIF('R3 Mirror Edits'!L5:L17,"N/A")</f>
        <v/>
      </c>
      <c r="H37" s="8">
        <f>COUNTIF('R3 Mirror Edits'!L5:L17,"TODO")</f>
        <v/>
      </c>
    </row>
    <row r="38">
      <c r="B38" s="8" t="inlineStr">
        <is>
          <t>Functional Checks A-I</t>
        </is>
      </c>
      <c r="C38" s="8">
        <f>COUNTA('Functional Checks A-I'!G5:G142)-COUNTIF('Functional Checks A-I'!G5:G142,"")</f>
        <v/>
      </c>
      <c r="D38" s="8">
        <f>COUNTIF('Functional Checks A-I'!G5:G142,"PASS")</f>
        <v/>
      </c>
      <c r="E38" s="8">
        <f>COUNTIF('Functional Checks A-I'!G5:G142,"FAIL")</f>
        <v/>
      </c>
      <c r="F38" s="8">
        <f>COUNTIF('Functional Checks A-I'!G5:G142,"BLOCKED")</f>
        <v/>
      </c>
      <c r="G38" s="8">
        <f>COUNTIF('Functional Checks A-I'!G5:G142,"N/A")</f>
        <v/>
      </c>
      <c r="H38" s="8">
        <f>COUNTIF('Functional Checks A-I'!G5:G142,"TODO")</f>
        <v/>
      </c>
    </row>
    <row r="39">
      <c r="B39" s="8" t="inlineStr">
        <is>
          <t>Engine Checks</t>
        </is>
      </c>
      <c r="C39" s="8">
        <f>COUNTA('Engine Checks'!F5:F143)-COUNTIF('Engine Checks'!F5:F143,"")</f>
        <v/>
      </c>
      <c r="D39" s="8">
        <f>COUNTIF('Engine Checks'!F5:F143,"PASS")</f>
        <v/>
      </c>
      <c r="E39" s="8">
        <f>COUNTIF('Engine Checks'!F5:F143,"FAIL")</f>
        <v/>
      </c>
      <c r="F39" s="8">
        <f>COUNTIF('Engine Checks'!F5:F143,"BLOCKED")</f>
        <v/>
      </c>
      <c r="G39" s="8">
        <f>COUNTIF('Engine Checks'!F5:F143,"N/A")</f>
        <v/>
      </c>
      <c r="H39" s="8">
        <f>COUNTIF('Engine Checks'!F5:F143,"TODO")</f>
        <v/>
      </c>
    </row>
    <row r="40">
      <c r="B40" s="8" t="inlineStr">
        <is>
          <t>Scenario Sessions</t>
        </is>
      </c>
      <c r="C40" s="8">
        <f>COUNTA('Scenario Sessions'!F5:F75)-COUNTIF('Scenario Sessions'!F5:F75,"")</f>
        <v/>
      </c>
      <c r="D40" s="8">
        <f>COUNTIF('Scenario Sessions'!F5:F75,"PASS")</f>
        <v/>
      </c>
      <c r="E40" s="8">
        <f>COUNTIF('Scenario Sessions'!F5:F75,"FAIL")</f>
        <v/>
      </c>
      <c r="F40" s="8">
        <f>COUNTIF('Scenario Sessions'!F5:F75,"BLOCKED")</f>
        <v/>
      </c>
      <c r="G40" s="8">
        <f>COUNTIF('Scenario Sessions'!F5:F75,"N/A")</f>
        <v/>
      </c>
      <c r="H40" s="8">
        <f>COUNTIF('Scenario Sessions'!F5:F75,"TODO")</f>
        <v/>
      </c>
    </row>
    <row r="41">
      <c r="B41" s="8" t="inlineStr">
        <is>
          <t>Human Tests A-K</t>
        </is>
      </c>
      <c r="C41" s="8">
        <f>COUNTA('Human Tests A-K'!G5:G130)-COUNTIF('Human Tests A-K'!G5:G130,"")</f>
        <v/>
      </c>
      <c r="D41" s="8">
        <f>COUNTIF('Human Tests A-K'!G5:G130,"PASS")</f>
        <v/>
      </c>
      <c r="E41" s="8">
        <f>COUNTIF('Human Tests A-K'!G5:G130,"FAIL")</f>
        <v/>
      </c>
      <c r="F41" s="8">
        <f>COUNTIF('Human Tests A-K'!G5:G130,"BLOCKED")</f>
        <v/>
      </c>
      <c r="G41" s="8">
        <f>COUNTIF('Human Tests A-K'!G5:G130,"N/A")</f>
        <v/>
      </c>
      <c r="H41" s="8">
        <f>COUNTIF('Human Tests A-K'!G5:G130,"TODO")</f>
        <v/>
      </c>
    </row>
    <row r="42">
      <c r="B42" s="9" t="inlineStr">
        <is>
          <t>TOTAL</t>
        </is>
      </c>
      <c r="C42" s="10">
        <f>SUM(C34:C41)</f>
        <v/>
      </c>
      <c r="D42" s="10">
        <f>SUM(D34:D41)</f>
        <v/>
      </c>
      <c r="E42" s="10">
        <f>SUM(E34:E41)</f>
        <v/>
      </c>
      <c r="F42" s="10">
        <f>SUM(F34:F41)</f>
        <v/>
      </c>
      <c r="G42" s="10">
        <f>SUM(G34:G41)</f>
        <v/>
      </c>
      <c r="H42" s="10">
        <f>SUM(H34:H41)</f>
        <v/>
      </c>
    </row>
    <row r="46">
      <c r="B46" s="3" t="inlineStr">
        <is>
          <t>Status legend</t>
        </is>
      </c>
    </row>
    <row r="47">
      <c r="B47" s="11" t="inlineStr">
        <is>
          <t>PASS</t>
        </is>
      </c>
      <c r="C47" s="6" t="inlineStr">
        <is>
          <t>Check executed, result as expected (within tolerance).</t>
        </is>
      </c>
    </row>
    <row r="48">
      <c r="B48" s="12" t="inlineStr">
        <is>
          <t>FAIL</t>
        </is>
      </c>
      <c r="C48" s="6" t="inlineStr">
        <is>
          <t>Deviation found → register it in the Deviation Register with class A–F.</t>
        </is>
      </c>
    </row>
    <row r="49">
      <c r="B49" s="13" t="inlineStr">
        <is>
          <t>BLOCKED</t>
        </is>
      </c>
      <c r="C49" s="6" t="inlineStr">
        <is>
          <t>Could not be executed (missing input, prerequisite failed). Explain in Notes.</t>
        </is>
      </c>
    </row>
    <row r="50">
      <c r="B50" s="14" t="inlineStr">
        <is>
          <t>N/A</t>
        </is>
      </c>
      <c r="C50" s="6" t="inlineStr">
        <is>
          <t>Not applicable for this site/round. Explain in Notes.</t>
        </is>
      </c>
    </row>
    <row r="51">
      <c r="B51" s="15" t="inlineStr">
        <is>
          <t>TODO</t>
        </is>
      </c>
      <c r="C51" s="6" t="inlineStr">
        <is>
          <t>Not executed yet.</t>
        </is>
      </c>
    </row>
    <row r="53">
      <c r="B53" s="3" t="inlineStr">
        <is>
          <t>Deviation classes</t>
        </is>
      </c>
    </row>
    <row r="54">
      <c r="B54" s="4" t="inlineStr">
        <is>
          <t>A · App defect</t>
        </is>
      </c>
      <c r="C54" s="6" t="inlineStr">
        <is>
          <t>App deviates from the GT and the GT is right → fix in main repo, new round.</t>
        </is>
      </c>
    </row>
    <row r="55">
      <c r="B55" s="4" t="inlineStr">
        <is>
          <t>B · Ground-truth error</t>
        </is>
      </c>
      <c r="C55" s="6" t="inlineStr">
        <is>
          <t>Client model or hand calculation is wrong; app is right → erratum, inform client, do not change the app.</t>
        </is>
      </c>
    </row>
    <row r="56">
      <c r="B56" s="4" t="inlineStr">
        <is>
          <t>C · Definition difference</t>
        </is>
      </c>
      <c r="C56" s="6" t="inlineStr">
        <is>
          <t>Both internally consistent, different definition → decision note; client chooses.</t>
        </is>
      </c>
    </row>
    <row r="57">
      <c r="B57" s="4" t="inlineStr">
        <is>
          <t>D · Presentation / rounding</t>
        </is>
      </c>
      <c r="C57" s="6" t="inlineStr">
        <is>
          <t>Same value, different display (blank vs 0, fraction vs %, 2 decimals, aux columns).</t>
        </is>
      </c>
    </row>
    <row r="58">
      <c r="B58" s="4" t="inlineStr">
        <is>
          <t>E · Alignment / timing</t>
        </is>
      </c>
      <c r="C58" s="6" t="inlineStr">
        <is>
          <t>Period shift between the two runs (planning month, actuals, lead-time offset).</t>
        </is>
      </c>
    </row>
    <row r="59">
      <c r="B59" s="4" t="inlineStr">
        <is>
          <t>F · Test artefact</t>
        </is>
      </c>
      <c r="C59" s="6" t="inlineStr">
        <is>
          <t>One side contains edits/overrides the other does not → reject the pair, build clean sources.</t>
        </is>
      </c>
    </row>
  </sheetData>
  <mergeCells count="12">
    <mergeCell ref="B19:G19"/>
    <mergeCell ref="B20:G20"/>
    <mergeCell ref="B28:G28"/>
    <mergeCell ref="B22:G22"/>
    <mergeCell ref="B30:G30"/>
    <mergeCell ref="B17:G17"/>
    <mergeCell ref="B23:G23"/>
    <mergeCell ref="B27:G27"/>
    <mergeCell ref="B26:G26"/>
    <mergeCell ref="B18:G18"/>
    <mergeCell ref="B21:G21"/>
    <mergeCell ref="B29:G29"/>
  </mergeCells>
  <conditionalFormatting sqref="E34:E42">
    <cfRule type="cellIs" priority="1" operator="greaterThan" dxfId="0">
      <formula>0</formula>
    </cfRule>
  </conditionalFormatting>
  <conditionalFormatting sqref="D34:D42">
    <cfRule type="cellIs" priority="2" operator="greaterThan" dxfId="1">
      <formula>0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34" customWidth="1" min="2" max="2"/>
    <col width="30" customWidth="1" min="3" max="3"/>
    <col width="12" customWidth="1" min="4" max="4"/>
    <col width="12" customWidth="1" min="5" max="5"/>
    <col width="10" customWidth="1" min="6" max="6"/>
    <col width="8" customWidth="1" min="7" max="7"/>
    <col width="22" customWidth="1" min="8" max="8"/>
    <col width="14" customWidth="1" min="9" max="9"/>
    <col width="12" customWidth="1" min="10" max="10"/>
    <col width="40" customWidth="1" min="11" max="11"/>
    <col width="40" customWidth="1" min="12" max="12"/>
    <col width="14" customWidth="1" min="13" max="13"/>
    <col width="30" customWidth="1" min="14" max="14"/>
  </cols>
  <sheetData>
    <row r="1" ht="26" customHeight="1">
      <c r="A1" s="16" t="inlineStr">
        <is>
          <t>Ground-truth register (§3)</t>
        </is>
      </c>
    </row>
    <row r="2">
      <c r="A2" s="2" t="inlineStr">
        <is>
          <t>A ground truth is only a ground truth once it is frozen: file + hash + parameters + owner. Never modify a frozen GT — a new version is a new ID.</t>
        </is>
      </c>
    </row>
    <row r="4" ht="30" customHeight="1">
      <c r="A4" s="7" t="inlineStr">
        <is>
          <t>GT-ID</t>
        </is>
      </c>
      <c r="B4" s="7" t="inlineStr">
        <is>
          <t>File name</t>
        </is>
      </c>
      <c r="C4" s="7" t="inlineStr">
        <is>
          <t>SHA-256</t>
        </is>
      </c>
      <c r="D4" s="7" t="inlineStr">
        <is>
          <t>Type</t>
        </is>
      </c>
      <c r="E4" s="7" t="inlineStr">
        <is>
          <t>Planning month</t>
        </is>
      </c>
      <c r="F4" s="7" t="inlineStr">
        <is>
          <t>Actuals months</t>
        </is>
      </c>
      <c r="G4" s="7" t="inlineStr">
        <is>
          <t>Site</t>
        </is>
      </c>
      <c r="H4" s="7" t="inlineStr">
        <is>
          <t>Model version (VBA / spec)</t>
        </is>
      </c>
      <c r="I4" s="7" t="inlineStr">
        <is>
          <t>Frozen by</t>
        </is>
      </c>
      <c r="J4" s="7" t="inlineStr">
        <is>
          <t>Frozen on</t>
        </is>
      </c>
      <c r="K4" s="7" t="inlineStr">
        <is>
          <t>Errata (known errors in the source)</t>
        </is>
      </c>
      <c r="L4" s="7" t="inlineStr">
        <is>
          <t>Storage location</t>
        </is>
      </c>
      <c r="M4" s="7" t="inlineStr">
        <is>
          <t>Status</t>
        </is>
      </c>
      <c r="N4" s="7" t="inlineStr">
        <is>
          <t>Notes</t>
        </is>
      </c>
    </row>
    <row r="5">
      <c r="A5" s="17" t="inlineStr">
        <is>
          <t>GT-NLX1-202512-01</t>
        </is>
      </c>
      <c r="B5" s="17" t="inlineStr">
        <is>
          <t>golden_MS_RECONC.xlsm (after CalculateFull)</t>
        </is>
      </c>
      <c r="C5" s="17" t="inlineStr"/>
      <c r="D5" s="17" t="inlineStr">
        <is>
          <t>GT-A</t>
        </is>
      </c>
      <c r="E5" s="17" t="inlineStr">
        <is>
          <t>2025-12</t>
        </is>
      </c>
      <c r="F5" s="17" t="n">
        <v>12</v>
      </c>
      <c r="G5" s="17" t="inlineStr">
        <is>
          <t>NLX1</t>
        </is>
      </c>
      <c r="H5" s="17" t="inlineStr"/>
      <c r="I5" s="17" t="inlineStr"/>
      <c r="J5" s="17" t="inlineStr"/>
      <c r="K5" s="17" t="inlineStr">
        <is>
          <t>PAP formula (1-2) instead of (1-0.2) on 600003822; empty tariff on 150000483 (parallel run July 2026)</t>
        </is>
      </c>
      <c r="L5" s="17" t="inlineStr">
        <is>
          <t>%LOCALAPPDATA%\SOPPlanningEngine\ground_truth\GT-NLX1-202512-01</t>
        </is>
      </c>
      <c r="M5" s="17" t="inlineStr">
        <is>
          <t>TO FREEZE</t>
        </is>
      </c>
      <c r="N5" s="17" t="inlineStr">
        <is>
          <t>Round 1 — see strategy §9</t>
        </is>
      </c>
    </row>
    <row r="6">
      <c r="A6" s="17" t="inlineStr">
        <is>
          <t>GT-NLK1-&lt;yyyymm&gt;-01</t>
        </is>
      </c>
      <c r="B6" s="17" t="inlineStr">
        <is>
          <t>first real monthly extract Winterswijk</t>
        </is>
      </c>
      <c r="C6" s="17" t="inlineStr"/>
      <c r="D6" s="17" t="inlineStr">
        <is>
          <t>GT-A</t>
        </is>
      </c>
      <c r="E6" s="17" t="inlineStr"/>
      <c r="F6" s="17" t="inlineStr"/>
      <c r="G6" s="17" t="inlineStr">
        <is>
          <t>NLK1</t>
        </is>
      </c>
      <c r="H6" s="17" t="inlineStr"/>
      <c r="I6" s="17" t="inlineStr"/>
      <c r="J6" s="17" t="inlineStr"/>
      <c r="K6" s="17" t="inlineStr"/>
      <c r="L6" s="17" t="inlineStr"/>
      <c r="M6" s="17" t="inlineStr">
        <is>
          <t>TO FREEZE</t>
        </is>
      </c>
      <c r="N6" s="17" t="inlineStr">
        <is>
          <t>Round 2</t>
        </is>
      </c>
    </row>
    <row r="7">
      <c r="A7" s="17" t="inlineStr">
        <is>
          <t>GT-NLU1-&lt;yyyymm&gt;-01</t>
        </is>
      </c>
      <c r="B7" s="17" t="inlineStr">
        <is>
          <t>first real monthly extract Ankerkade</t>
        </is>
      </c>
      <c r="C7" s="17" t="inlineStr"/>
      <c r="D7" s="17" t="inlineStr">
        <is>
          <t>GT-A</t>
        </is>
      </c>
      <c r="E7" s="17" t="inlineStr"/>
      <c r="F7" s="17" t="inlineStr"/>
      <c r="G7" s="17" t="inlineStr">
        <is>
          <t>NLU1</t>
        </is>
      </c>
      <c r="H7" s="17" t="inlineStr"/>
      <c r="I7" s="17" t="inlineStr"/>
      <c r="J7" s="17" t="inlineStr"/>
      <c r="K7" s="17" t="inlineStr"/>
      <c r="L7" s="17" t="inlineStr"/>
      <c r="M7" s="17" t="inlineStr">
        <is>
          <t>TO FREEZE</t>
        </is>
      </c>
      <c r="N7" s="17" t="inlineStr">
        <is>
          <t>Round 3</t>
        </is>
      </c>
    </row>
    <row r="8">
      <c r="A8" s="17" t="inlineStr">
        <is>
          <t>GT-NLX1-202512-B1</t>
        </is>
      </c>
      <c r="B8" s="17" t="inlineStr">
        <is>
          <t>hand calculation K1–K5 (Calc Chains sheet)</t>
        </is>
      </c>
      <c r="C8" s="17" t="inlineStr">
        <is>
          <t>n/a</t>
        </is>
      </c>
      <c r="D8" s="17" t="inlineStr">
        <is>
          <t>GT-B</t>
        </is>
      </c>
      <c r="E8" s="17" t="inlineStr">
        <is>
          <t>2025-12</t>
        </is>
      </c>
      <c r="F8" s="17" t="n">
        <v>12</v>
      </c>
      <c r="G8" s="17" t="inlineStr">
        <is>
          <t>NLX1</t>
        </is>
      </c>
      <c r="H8" s="17" t="inlineStr">
        <is>
          <t>functional description (procedure file / LOR) version …</t>
        </is>
      </c>
      <c r="I8" s="17" t="inlineStr"/>
      <c r="J8" s="17" t="inlineStr"/>
      <c r="K8" s="17" t="inlineStr"/>
      <c r="L8" s="17" t="inlineStr">
        <is>
          <t>this workbook</t>
        </is>
      </c>
      <c r="M8" s="17" t="inlineStr">
        <is>
          <t>TO FILL</t>
        </is>
      </c>
      <c r="N8" s="17" t="inlineStr">
        <is>
          <t>Independent of VBA and Python</t>
        </is>
      </c>
    </row>
    <row r="9">
      <c r="A9" s="17" t="inlineStr">
        <is>
          <t>PAIR-AB-2026-07 (not frozen)</t>
        </is>
      </c>
      <c r="B9" s="17" t="inlineStr">
        <is>
          <t>test a + b.xlsm ↔ test a + b python.xlsx</t>
        </is>
      </c>
      <c r="C9" s="17" t="inlineStr"/>
      <c r="D9" s="17" t="inlineStr">
        <is>
          <t>test artefact</t>
        </is>
      </c>
      <c r="E9" s="17" t="inlineStr">
        <is>
          <t>2025-12</t>
        </is>
      </c>
      <c r="F9" s="17" t="n">
        <v>12</v>
      </c>
      <c r="G9" s="17" t="inlineStr">
        <is>
          <t>NLX1</t>
        </is>
      </c>
      <c r="H9" s="17" t="inlineStr"/>
      <c r="I9" s="17" t="inlineStr"/>
      <c r="J9" s="17" t="inlineStr"/>
      <c r="K9" s="17" t="inlineStr"/>
      <c r="L9" s="17" t="inlineStr">
        <is>
          <t>officieel test documenten sop</t>
        </is>
      </c>
      <c r="M9" s="17" t="inlineStr">
        <is>
          <t>NOT A GT</t>
        </is>
      </c>
      <c r="N9" s="17" t="inlineStr">
        <is>
          <t>End state after tests A/B incl. edits — used for the baseline measurement only</t>
        </is>
      </c>
    </row>
    <row r="10">
      <c r="A10" s="17" t="inlineStr">
        <is>
          <t>PAIR-CD-2026-07 (not frozen)</t>
        </is>
      </c>
      <c r="B10" s="17" t="inlineStr">
        <is>
          <t>test c + D GT.xlsm ↔ test c + d python.xlsx</t>
        </is>
      </c>
      <c r="C10" s="17" t="inlineStr"/>
      <c r="D10" s="17" t="inlineStr">
        <is>
          <t>test artefact</t>
        </is>
      </c>
      <c r="E10" s="17" t="inlineStr">
        <is>
          <t>2025-12</t>
        </is>
      </c>
      <c r="F10" s="17" t="n">
        <v>12</v>
      </c>
      <c r="G10" s="17" t="inlineStr">
        <is>
          <t>NLX1</t>
        </is>
      </c>
      <c r="H10" s="17" t="inlineStr"/>
      <c r="I10" s="17" t="inlineStr"/>
      <c r="J10" s="17" t="inlineStr"/>
      <c r="K10" s="17" t="inlineStr"/>
      <c r="L10" s="17" t="inlineStr">
        <is>
          <t>officieel test documenten sop</t>
        </is>
      </c>
      <c r="M10" s="17" t="inlineStr">
        <is>
          <t>NOT A GT</t>
        </is>
      </c>
      <c r="N10" s="17" t="inlineStr">
        <is>
          <t>End state after tests C/D incl. edits — baseline measurement only</t>
        </is>
      </c>
    </row>
    <row r="11">
      <c r="A11" s="17" t="inlineStr"/>
      <c r="B11" s="17" t="inlineStr"/>
      <c r="C11" s="17" t="inlineStr"/>
      <c r="D11" s="17" t="inlineStr"/>
      <c r="E11" s="17" t="inlineStr"/>
      <c r="F11" s="17" t="inlineStr"/>
      <c r="G11" s="17" t="inlineStr"/>
      <c r="H11" s="17" t="inlineStr"/>
      <c r="I11" s="17" t="inlineStr"/>
      <c r="J11" s="17" t="inlineStr"/>
      <c r="K11" s="17" t="inlineStr"/>
      <c r="L11" s="17" t="inlineStr"/>
      <c r="M11" s="17" t="inlineStr"/>
      <c r="N11" s="17" t="inlineStr"/>
    </row>
    <row r="12">
      <c r="A12" s="17" t="inlineStr"/>
      <c r="B12" s="17" t="inlineStr"/>
      <c r="C12" s="17" t="inlineStr"/>
      <c r="D12" s="17" t="inlineStr"/>
      <c r="E12" s="17" t="inlineStr"/>
      <c r="F12" s="17" t="inlineStr"/>
      <c r="G12" s="17" t="inlineStr"/>
      <c r="H12" s="17" t="inlineStr"/>
      <c r="I12" s="17" t="inlineStr"/>
      <c r="J12" s="17" t="inlineStr"/>
      <c r="K12" s="17" t="inlineStr"/>
      <c r="L12" s="17" t="inlineStr"/>
      <c r="M12" s="17" t="inlineStr"/>
      <c r="N12" s="17" t="inlineStr"/>
    </row>
    <row r="13">
      <c r="A13" s="17" t="inlineStr"/>
      <c r="B13" s="17" t="inlineStr"/>
      <c r="C13" s="17" t="inlineStr"/>
      <c r="D13" s="17" t="inlineStr"/>
      <c r="E13" s="17" t="inlineStr"/>
      <c r="F13" s="17" t="inlineStr"/>
      <c r="G13" s="17" t="inlineStr"/>
      <c r="H13" s="17" t="inlineStr"/>
      <c r="I13" s="17" t="inlineStr"/>
      <c r="J13" s="17" t="inlineStr"/>
      <c r="K13" s="17" t="inlineStr"/>
      <c r="L13" s="17" t="inlineStr"/>
      <c r="M13" s="17" t="inlineStr"/>
      <c r="N13" s="17" t="inlineStr"/>
    </row>
    <row r="14">
      <c r="A14" s="17" t="inlineStr"/>
      <c r="B14" s="17" t="inlineStr"/>
      <c r="C14" s="17" t="inlineStr"/>
      <c r="D14" s="17" t="inlineStr"/>
      <c r="E14" s="17" t="inlineStr"/>
      <c r="F14" s="17" t="inlineStr"/>
      <c r="G14" s="17" t="inlineStr"/>
      <c r="H14" s="17" t="inlineStr"/>
      <c r="I14" s="17" t="inlineStr"/>
      <c r="J14" s="17" t="inlineStr"/>
      <c r="K14" s="17" t="inlineStr"/>
      <c r="L14" s="17" t="inlineStr"/>
      <c r="M14" s="17" t="inlineStr"/>
      <c r="N14" s="17" t="inlineStr"/>
    </row>
    <row r="15">
      <c r="A15" s="17" t="inlineStr"/>
      <c r="B15" s="17" t="inlineStr"/>
      <c r="C15" s="17" t="inlineStr"/>
      <c r="D15" s="17" t="inlineStr"/>
      <c r="E15" s="17" t="inlineStr"/>
      <c r="F15" s="17" t="inlineStr"/>
      <c r="G15" s="17" t="inlineStr"/>
      <c r="H15" s="17" t="inlineStr"/>
      <c r="I15" s="17" t="inlineStr"/>
      <c r="J15" s="17" t="inlineStr"/>
      <c r="K15" s="17" t="inlineStr"/>
      <c r="L15" s="17" t="inlineStr"/>
      <c r="M15" s="17" t="inlineStr"/>
      <c r="N15" s="17" t="inlineStr"/>
    </row>
    <row r="16">
      <c r="A16" s="17" t="inlineStr"/>
      <c r="B16" s="17" t="inlineStr"/>
      <c r="C16" s="17" t="inlineStr"/>
      <c r="D16" s="17" t="inlineStr"/>
      <c r="E16" s="17" t="inlineStr"/>
      <c r="F16" s="17" t="inlineStr"/>
      <c r="G16" s="17" t="inlineStr"/>
      <c r="H16" s="17" t="inlineStr"/>
      <c r="I16" s="17" t="inlineStr"/>
      <c r="J16" s="17" t="inlineStr"/>
      <c r="K16" s="17" t="inlineStr"/>
      <c r="L16" s="17" t="inlineStr"/>
      <c r="M16" s="17" t="inlineStr"/>
      <c r="N16" s="17" t="inlineStr"/>
    </row>
    <row r="17">
      <c r="A17" s="17" t="inlineStr"/>
      <c r="B17" s="17" t="inlineStr"/>
      <c r="C17" s="17" t="inlineStr"/>
      <c r="D17" s="17" t="inlineStr"/>
      <c r="E17" s="17" t="inlineStr"/>
      <c r="F17" s="17" t="inlineStr"/>
      <c r="G17" s="17" t="inlineStr"/>
      <c r="H17" s="17" t="inlineStr"/>
      <c r="I17" s="17" t="inlineStr"/>
      <c r="J17" s="17" t="inlineStr"/>
      <c r="K17" s="17" t="inlineStr"/>
      <c r="L17" s="17" t="inlineStr"/>
      <c r="M17" s="17" t="inlineStr"/>
      <c r="N17" s="17" t="inlineStr"/>
    </row>
    <row r="18">
      <c r="A18" s="17" t="inlineStr"/>
      <c r="B18" s="17" t="inlineStr"/>
      <c r="C18" s="17" t="inlineStr"/>
      <c r="D18" s="17" t="inlineStr"/>
      <c r="E18" s="17" t="inlineStr"/>
      <c r="F18" s="17" t="inlineStr"/>
      <c r="G18" s="17" t="inlineStr"/>
      <c r="H18" s="17" t="inlineStr"/>
      <c r="I18" s="17" t="inlineStr"/>
      <c r="J18" s="17" t="inlineStr"/>
      <c r="K18" s="17" t="inlineStr"/>
      <c r="L18" s="17" t="inlineStr"/>
      <c r="M18" s="17" t="inlineStr"/>
      <c r="N18" s="17" t="inlineStr"/>
    </row>
    <row r="19">
      <c r="A19" s="17" t="inlineStr"/>
      <c r="B19" s="17" t="inlineStr"/>
      <c r="C19" s="17" t="inlineStr"/>
      <c r="D19" s="17" t="inlineStr"/>
      <c r="E19" s="17" t="inlineStr"/>
      <c r="F19" s="17" t="inlineStr"/>
      <c r="G19" s="17" t="inlineStr"/>
      <c r="H19" s="17" t="inlineStr"/>
      <c r="I19" s="17" t="inlineStr"/>
      <c r="J19" s="17" t="inlineStr"/>
      <c r="K19" s="17" t="inlineStr"/>
      <c r="L19" s="17" t="inlineStr"/>
      <c r="M19" s="17" t="inlineStr"/>
      <c r="N19" s="17" t="inlineStr"/>
    </row>
    <row r="20">
      <c r="A20" s="17" t="inlineStr"/>
      <c r="B20" s="17" t="inlineStr"/>
      <c r="C20" s="17" t="inlineStr"/>
      <c r="D20" s="17" t="inlineStr"/>
      <c r="E20" s="17" t="inlineStr"/>
      <c r="F20" s="17" t="inlineStr"/>
      <c r="G20" s="17" t="inlineStr"/>
      <c r="H20" s="17" t="inlineStr"/>
      <c r="I20" s="17" t="inlineStr"/>
      <c r="J20" s="17" t="inlineStr"/>
      <c r="K20" s="17" t="inlineStr"/>
      <c r="L20" s="17" t="inlineStr"/>
      <c r="M20" s="17" t="inlineStr"/>
      <c r="N20" s="17" t="inlineStr"/>
    </row>
  </sheetData>
  <autoFilter ref="A4:N4"/>
  <mergeCells count="2">
    <mergeCell ref="A2:N2"/>
    <mergeCell ref="A1:N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12" customWidth="1" min="3" max="3"/>
    <col width="2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0" customWidth="1" min="11" max="11"/>
    <col width="14" customWidth="1" min="12" max="12"/>
    <col width="34" customWidth="1" min="13" max="13"/>
    <col width="12" customWidth="1" min="14" max="14"/>
    <col width="20" customWidth="1" min="15" max="15"/>
    <col width="40" customWidth="1" min="16" max="16"/>
  </cols>
  <sheetData>
    <row r="1" ht="26" customHeight="1">
      <c r="A1" s="16" t="inlineStr">
        <is>
          <t>R1 — Baseline parity: app export vs. client Excel, cell by cell</t>
        </is>
      </c>
    </row>
    <row r="2">
      <c r="A2" s="2" t="inlineStr">
        <is>
          <t>Same workbook → Excel macro run → GT-A; app upload → Calculate → export; python tools/ground_truth_diff.py. Expected: Planning Δ=0 on all lines; Values Δ=0 except erratum cells.</t>
        </is>
      </c>
    </row>
    <row r="4" ht="30" customHeight="1">
      <c r="A4" s="7" t="inlineStr">
        <is>
          <t>Run</t>
        </is>
      </c>
      <c r="B4" s="7" t="inlineStr">
        <is>
          <t>GT-ID</t>
        </is>
      </c>
      <c r="C4" s="7" t="inlineStr">
        <is>
          <t>App commit</t>
        </is>
      </c>
      <c r="D4" s="7" t="inlineStr">
        <is>
          <t>Sheet</t>
        </is>
      </c>
      <c r="E4" s="7" t="inlineStr">
        <is>
          <t>Cells compared</t>
        </is>
      </c>
      <c r="F4" s="7" t="inlineStr">
        <is>
          <t>Cells equal</t>
        </is>
      </c>
      <c r="G4" s="7" t="inlineStr">
        <is>
          <t>Deviations</t>
        </is>
      </c>
      <c r="H4" s="7" t="inlineStr">
        <is>
          <t>Rows only in GT</t>
        </is>
      </c>
      <c r="I4" s="7" t="inlineStr">
        <is>
          <t>Rows only in app</t>
        </is>
      </c>
      <c r="J4" s="7" t="inlineStr">
        <is>
          <t>Max |Δ|</t>
        </is>
      </c>
      <c r="K4" s="7" t="inlineStr">
        <is>
          <t>% equal</t>
        </is>
      </c>
      <c r="L4" s="7" t="inlineStr">
        <is>
          <t>Tolerance abs / rel</t>
        </is>
      </c>
      <c r="M4" s="7" t="inlineStr">
        <is>
          <t>Report file (ground_truth_diff)</t>
        </is>
      </c>
      <c r="N4" s="7" t="inlineStr">
        <is>
          <t>Status</t>
        </is>
      </c>
      <c r="O4" s="7" t="inlineStr">
        <is>
          <t>Classified? (all deviation classes in register)</t>
        </is>
      </c>
      <c r="P4" s="7" t="inlineStr">
        <is>
          <t>Notes</t>
        </is>
      </c>
    </row>
    <row r="5">
      <c r="A5" s="17" t="inlineStr">
        <is>
          <t>Baseline 25-08-2026</t>
        </is>
      </c>
      <c r="B5" s="17" t="inlineStr">
        <is>
          <t>PAIR-AB-2026-07</t>
        </is>
      </c>
      <c r="C5" s="17" t="inlineStr">
        <is>
          <t>82f7643</t>
        </is>
      </c>
      <c r="D5" s="17" t="inlineStr">
        <is>
          <t>Planning sheet</t>
        </is>
      </c>
      <c r="E5" s="18" t="n">
        <v>25649</v>
      </c>
      <c r="F5" s="18" t="n">
        <v>25585</v>
      </c>
      <c r="G5" s="18" t="n">
        <v>64</v>
      </c>
      <c r="H5" s="18" t="n">
        <v>0</v>
      </c>
      <c r="I5" s="18" t="n">
        <v>0</v>
      </c>
      <c r="J5" s="19" t="n">
        <v>196.47</v>
      </c>
      <c r="K5" s="20">
        <f>IF(E5&gt;0,F5/E5,"")</f>
        <v/>
      </c>
      <c r="L5" s="17" t="inlineStr">
        <is>
          <t>1e-6 / 1e-9</t>
        </is>
      </c>
      <c r="M5" s="17" t="inlineStr">
        <is>
          <t>gt_ab.md</t>
        </is>
      </c>
      <c r="N5" s="21" t="inlineStr">
        <is>
          <t>FAIL</t>
        </is>
      </c>
      <c r="O5" s="17" t="inlineStr">
        <is>
          <t>candidate findings 5, 6</t>
        </is>
      </c>
      <c r="P5" s="17" t="inlineStr">
        <is>
          <t>one BOM pair 400000455 ↔ 600007751: 196.47 shifts Dec-2025 → Jan-2026 and drags L03/L04/L06/L07</t>
        </is>
      </c>
    </row>
    <row r="6">
      <c r="A6" s="17" t="inlineStr">
        <is>
          <t>Baseline 25-08-2026</t>
        </is>
      </c>
      <c r="B6" s="17" t="inlineStr">
        <is>
          <t>PAIR-AB-2026-07</t>
        </is>
      </c>
      <c r="C6" s="17" t="inlineStr">
        <is>
          <t>82f7643</t>
        </is>
      </c>
      <c r="D6" s="17" t="inlineStr">
        <is>
          <t>Values_Planning sheet</t>
        </is>
      </c>
      <c r="E6" s="18" t="n">
        <v>7501</v>
      </c>
      <c r="F6" s="18" t="n">
        <v>7217</v>
      </c>
      <c r="G6" s="18" t="n">
        <v>284</v>
      </c>
      <c r="H6" s="18" t="n">
        <v>1</v>
      </c>
      <c r="I6" s="18" t="n">
        <v>0</v>
      </c>
      <c r="J6" s="19" t="n">
        <v>5246842.02</v>
      </c>
      <c r="K6" s="20">
        <f>IF(E6&gt;0,F6/E6,"")</f>
        <v/>
      </c>
      <c r="L6" s="17" t="inlineStr">
        <is>
          <t>1e-6 / 1e-9</t>
        </is>
      </c>
      <c r="M6" s="17" t="inlineStr">
        <is>
          <t>gt_ab.md</t>
        </is>
      </c>
      <c r="N6" s="21" t="inlineStr">
        <is>
          <t>FAIL</t>
        </is>
      </c>
      <c r="O6" s="17" t="inlineStr">
        <is>
          <t>candidate findings 1, 2, 6</t>
        </is>
      </c>
      <c r="P6" s="17" t="inlineStr">
        <is>
          <t>Values L01 216 cells systematic; consolidation starting stock 5.2M vs 0</t>
        </is>
      </c>
    </row>
    <row r="7">
      <c r="A7" s="17" t="inlineStr">
        <is>
          <t>Baseline 25-08-2026</t>
        </is>
      </c>
      <c r="B7" s="17" t="inlineStr">
        <is>
          <t>PAIR-CD-2026-07</t>
        </is>
      </c>
      <c r="C7" s="17" t="inlineStr">
        <is>
          <t>82f7643</t>
        </is>
      </c>
      <c r="D7" s="17" t="inlineStr">
        <is>
          <t>Planning sheet</t>
        </is>
      </c>
      <c r="E7" s="18" t="n">
        <v>25649</v>
      </c>
      <c r="F7" s="18" t="n">
        <v>25522</v>
      </c>
      <c r="G7" s="18" t="n">
        <v>127</v>
      </c>
      <c r="H7" s="18" t="n">
        <v>0</v>
      </c>
      <c r="I7" s="18" t="n">
        <v>0</v>
      </c>
      <c r="J7" s="19" t="n">
        <v>21.8198</v>
      </c>
      <c r="K7" s="20">
        <f>IF(E7&gt;0,F7/E7,"")</f>
        <v/>
      </c>
      <c r="L7" s="17" t="inlineStr">
        <is>
          <t>1e-6 / 1e-9</t>
        </is>
      </c>
      <c r="M7" s="17" t="inlineStr">
        <is>
          <t>gt_cd.md</t>
        </is>
      </c>
      <c r="N7" s="21" t="inlineStr">
        <is>
          <t>FAIL</t>
        </is>
      </c>
      <c r="O7" s="17" t="inlineStr">
        <is>
          <t>candidate findings 3, 4</t>
        </is>
      </c>
      <c r="P7" s="17" t="inlineStr">
        <is>
          <t>Z_MACH20 L10 ×100 (22.04 vs 0.2204); ZZ_GROUP03 / Z_MACH14–16 0.02–0.03 %</t>
        </is>
      </c>
    </row>
    <row r="8">
      <c r="A8" s="17" t="inlineStr">
        <is>
          <t>Baseline 25-08-2026</t>
        </is>
      </c>
      <c r="B8" s="17" t="inlineStr">
        <is>
          <t>PAIR-CD-2026-07</t>
        </is>
      </c>
      <c r="C8" s="17" t="inlineStr">
        <is>
          <t>82f7643</t>
        </is>
      </c>
      <c r="D8" s="17" t="inlineStr">
        <is>
          <t>Values_Planning sheet</t>
        </is>
      </c>
      <c r="E8" s="18" t="n">
        <v>7501</v>
      </c>
      <c r="F8" s="18" t="n">
        <v>7130</v>
      </c>
      <c r="G8" s="18" t="n">
        <v>371</v>
      </c>
      <c r="H8" s="18" t="n">
        <v>1</v>
      </c>
      <c r="I8" s="18" t="n">
        <v>0</v>
      </c>
      <c r="J8" s="19" t="n">
        <v>5246842.02</v>
      </c>
      <c r="K8" s="20">
        <f>IF(E8&gt;0,F8/E8,"")</f>
        <v/>
      </c>
      <c r="L8" s="17" t="inlineStr">
        <is>
          <t>1e-6 / 1e-9</t>
        </is>
      </c>
      <c r="M8" s="17" t="inlineStr">
        <is>
          <t>gt_cd.md</t>
        </is>
      </c>
      <c r="N8" s="21" t="inlineStr">
        <is>
          <t>FAIL</t>
        </is>
      </c>
      <c r="O8" s="17" t="inlineStr">
        <is>
          <t>candidate findings 1, 2, 6</t>
        </is>
      </c>
      <c r="P8" s="17" t="inlineStr">
        <is>
          <t>Values L01 216 cells systematic (same as a+b)</t>
        </is>
      </c>
    </row>
    <row r="9">
      <c r="A9" s="17" t="inlineStr">
        <is>
          <t>Round 1</t>
        </is>
      </c>
      <c r="B9" s="17" t="inlineStr">
        <is>
          <t>GT-NLX1-202512-01</t>
        </is>
      </c>
      <c r="C9" s="17" t="inlineStr"/>
      <c r="D9" s="17" t="inlineStr">
        <is>
          <t>Planning sheet</t>
        </is>
      </c>
      <c r="E9" s="18" t="n"/>
      <c r="F9" s="18" t="n"/>
      <c r="G9" s="18" t="n"/>
      <c r="H9" s="18" t="n"/>
      <c r="I9" s="18" t="n"/>
      <c r="J9" s="19" t="n"/>
      <c r="K9" s="20">
        <f>IF(E9&gt;0,F9/E9,"")</f>
        <v/>
      </c>
      <c r="L9" s="17" t="inlineStr">
        <is>
          <t>1e-6 / 1e-9</t>
        </is>
      </c>
      <c r="M9" s="17" t="inlineStr"/>
      <c r="N9" s="21" t="inlineStr">
        <is>
          <t>TODO</t>
        </is>
      </c>
      <c r="O9" s="17" t="inlineStr"/>
      <c r="P9" s="17" t="inlineStr"/>
    </row>
    <row r="10">
      <c r="A10" s="17" t="inlineStr">
        <is>
          <t>Round 1</t>
        </is>
      </c>
      <c r="B10" s="17" t="inlineStr">
        <is>
          <t>GT-NLX1-202512-01</t>
        </is>
      </c>
      <c r="C10" s="17" t="inlineStr"/>
      <c r="D10" s="17" t="inlineStr">
        <is>
          <t>Values_Planning sheet</t>
        </is>
      </c>
      <c r="E10" s="18" t="n"/>
      <c r="F10" s="18" t="n"/>
      <c r="G10" s="18" t="n"/>
      <c r="H10" s="18" t="n"/>
      <c r="I10" s="18" t="n"/>
      <c r="J10" s="19" t="n"/>
      <c r="K10" s="20">
        <f>IF(E10&gt;0,F10/E10,"")</f>
        <v/>
      </c>
      <c r="L10" s="17" t="inlineStr">
        <is>
          <t>0.01 / –</t>
        </is>
      </c>
      <c r="M10" s="17" t="inlineStr"/>
      <c r="N10" s="21" t="inlineStr">
        <is>
          <t>TODO</t>
        </is>
      </c>
      <c r="O10" s="17" t="inlineStr"/>
      <c r="P10" s="17" t="inlineStr"/>
    </row>
    <row r="11">
      <c r="A11" s="17" t="inlineStr">
        <is>
          <t>Round 2</t>
        </is>
      </c>
      <c r="B11" s="17" t="inlineStr">
        <is>
          <t>GT-NLK1-…</t>
        </is>
      </c>
      <c r="C11" s="17" t="inlineStr"/>
      <c r="D11" s="17" t="inlineStr">
        <is>
          <t>Planning sheet</t>
        </is>
      </c>
      <c r="E11" s="18" t="n"/>
      <c r="F11" s="18" t="n"/>
      <c r="G11" s="18" t="n"/>
      <c r="H11" s="18" t="n"/>
      <c r="I11" s="18" t="n"/>
      <c r="J11" s="19" t="n"/>
      <c r="K11" s="20">
        <f>IF(E11&gt;0,F11/E11,"")</f>
        <v/>
      </c>
      <c r="L11" s="17" t="inlineStr">
        <is>
          <t>1e-6 / 1e-9</t>
        </is>
      </c>
      <c r="M11" s="17" t="inlineStr"/>
      <c r="N11" s="21" t="inlineStr">
        <is>
          <t>TODO</t>
        </is>
      </c>
      <c r="O11" s="17" t="inlineStr"/>
      <c r="P11" s="17" t="inlineStr"/>
    </row>
    <row r="12">
      <c r="A12" s="17" t="inlineStr">
        <is>
          <t>Round 2</t>
        </is>
      </c>
      <c r="B12" s="17" t="inlineStr">
        <is>
          <t>GT-NLK1-…</t>
        </is>
      </c>
      <c r="C12" s="17" t="inlineStr"/>
      <c r="D12" s="17" t="inlineStr">
        <is>
          <t>Values_Planning sheet</t>
        </is>
      </c>
      <c r="E12" s="18" t="n"/>
      <c r="F12" s="18" t="n"/>
      <c r="G12" s="18" t="n"/>
      <c r="H12" s="18" t="n"/>
      <c r="I12" s="18" t="n"/>
      <c r="J12" s="19" t="n"/>
      <c r="K12" s="20">
        <f>IF(E12&gt;0,F12/E12,"")</f>
        <v/>
      </c>
      <c r="L12" s="17" t="inlineStr">
        <is>
          <t>0.01 / –</t>
        </is>
      </c>
      <c r="M12" s="17" t="inlineStr"/>
      <c r="N12" s="21" t="inlineStr">
        <is>
          <t>TODO</t>
        </is>
      </c>
      <c r="O12" s="17" t="inlineStr"/>
      <c r="P12" s="17" t="inlineStr"/>
    </row>
    <row r="13">
      <c r="A13" s="17" t="inlineStr">
        <is>
          <t>Round 3</t>
        </is>
      </c>
      <c r="B13" s="17" t="inlineStr">
        <is>
          <t>GT-NLU1-…</t>
        </is>
      </c>
      <c r="C13" s="17" t="inlineStr"/>
      <c r="D13" s="17" t="inlineStr">
        <is>
          <t>Planning sheet</t>
        </is>
      </c>
      <c r="E13" s="18" t="n"/>
      <c r="F13" s="18" t="n"/>
      <c r="G13" s="18" t="n"/>
      <c r="H13" s="18" t="n"/>
      <c r="I13" s="18" t="n"/>
      <c r="J13" s="19" t="n"/>
      <c r="K13" s="20">
        <f>IF(E13&gt;0,F13/E13,"")</f>
        <v/>
      </c>
      <c r="L13" s="17" t="inlineStr">
        <is>
          <t>1e-6 / 1e-9</t>
        </is>
      </c>
      <c r="M13" s="17" t="inlineStr"/>
      <c r="N13" s="21" t="inlineStr">
        <is>
          <t>TODO</t>
        </is>
      </c>
      <c r="O13" s="17" t="inlineStr"/>
      <c r="P13" s="17" t="inlineStr"/>
    </row>
    <row r="14">
      <c r="A14" s="17" t="inlineStr">
        <is>
          <t>Round 3</t>
        </is>
      </c>
      <c r="B14" s="17" t="inlineStr">
        <is>
          <t>GT-NLU1-…</t>
        </is>
      </c>
      <c r="C14" s="17" t="inlineStr"/>
      <c r="D14" s="17" t="inlineStr">
        <is>
          <t>Values_Planning sheet</t>
        </is>
      </c>
      <c r="E14" s="18" t="n"/>
      <c r="F14" s="18" t="n"/>
      <c r="G14" s="18" t="n"/>
      <c r="H14" s="18" t="n"/>
      <c r="I14" s="18" t="n"/>
      <c r="J14" s="19" t="n"/>
      <c r="K14" s="20">
        <f>IF(E14&gt;0,F14/E14,"")</f>
        <v/>
      </c>
      <c r="L14" s="17" t="inlineStr">
        <is>
          <t>0.01 / –</t>
        </is>
      </c>
      <c r="M14" s="17" t="inlineStr"/>
      <c r="N14" s="21" t="inlineStr">
        <is>
          <t>TODO</t>
        </is>
      </c>
      <c r="O14" s="17" t="inlineStr"/>
      <c r="P14" s="17" t="inlineStr"/>
    </row>
    <row r="15">
      <c r="A15" s="17" t="inlineStr"/>
      <c r="B15" s="17" t="inlineStr"/>
      <c r="C15" s="17" t="inlineStr"/>
      <c r="D15" s="17" t="inlineStr"/>
      <c r="E15" s="17" t="inlineStr"/>
      <c r="F15" s="17" t="inlineStr"/>
      <c r="G15" s="17" t="inlineStr"/>
      <c r="H15" s="17" t="inlineStr"/>
      <c r="I15" s="17" t="inlineStr"/>
      <c r="J15" s="17" t="inlineStr"/>
      <c r="K15" s="17" t="inlineStr"/>
      <c r="L15" s="17" t="inlineStr"/>
      <c r="M15" s="17" t="inlineStr"/>
      <c r="N15" s="17" t="inlineStr"/>
      <c r="O15" s="17" t="inlineStr"/>
      <c r="P15" s="17" t="inlineStr"/>
    </row>
    <row r="16">
      <c r="A16" s="17" t="inlineStr"/>
      <c r="B16" s="17" t="inlineStr"/>
      <c r="C16" s="17" t="inlineStr"/>
      <c r="D16" s="17" t="inlineStr"/>
      <c r="E16" s="17" t="inlineStr"/>
      <c r="F16" s="17" t="inlineStr"/>
      <c r="G16" s="17" t="inlineStr"/>
      <c r="H16" s="17" t="inlineStr"/>
      <c r="I16" s="17" t="inlineStr"/>
      <c r="J16" s="17" t="inlineStr"/>
      <c r="K16" s="17" t="inlineStr"/>
      <c r="L16" s="17" t="inlineStr"/>
      <c r="M16" s="17" t="inlineStr"/>
      <c r="N16" s="17" t="inlineStr"/>
      <c r="O16" s="17" t="inlineStr"/>
      <c r="P16" s="17" t="inlineStr"/>
    </row>
    <row r="17">
      <c r="A17" s="17" t="inlineStr"/>
      <c r="B17" s="17" t="inlineStr"/>
      <c r="C17" s="17" t="inlineStr"/>
      <c r="D17" s="17" t="inlineStr"/>
      <c r="E17" s="17" t="inlineStr"/>
      <c r="F17" s="17" t="inlineStr"/>
      <c r="G17" s="17" t="inlineStr"/>
      <c r="H17" s="17" t="inlineStr"/>
      <c r="I17" s="17" t="inlineStr"/>
      <c r="J17" s="17" t="inlineStr"/>
      <c r="K17" s="17" t="inlineStr"/>
      <c r="L17" s="17" t="inlineStr"/>
      <c r="M17" s="17" t="inlineStr"/>
      <c r="N17" s="17" t="inlineStr"/>
      <c r="O17" s="17" t="inlineStr"/>
      <c r="P17" s="17" t="inlineStr"/>
    </row>
    <row r="18">
      <c r="A18" s="17" t="inlineStr"/>
      <c r="B18" s="17" t="inlineStr"/>
      <c r="C18" s="17" t="inlineStr"/>
      <c r="D18" s="17" t="inlineStr"/>
      <c r="E18" s="17" t="inlineStr"/>
      <c r="F18" s="17" t="inlineStr"/>
      <c r="G18" s="17" t="inlineStr"/>
      <c r="H18" s="17" t="inlineStr"/>
      <c r="I18" s="17" t="inlineStr"/>
      <c r="J18" s="17" t="inlineStr"/>
      <c r="K18" s="17" t="inlineStr"/>
      <c r="L18" s="17" t="inlineStr"/>
      <c r="M18" s="17" t="inlineStr"/>
      <c r="N18" s="17" t="inlineStr"/>
      <c r="O18" s="17" t="inlineStr"/>
      <c r="P18" s="17" t="inlineStr"/>
    </row>
    <row r="19">
      <c r="A19" s="17" t="inlineStr"/>
      <c r="B19" s="17" t="inlineStr"/>
      <c r="C19" s="17" t="inlineStr"/>
      <c r="D19" s="17" t="inlineStr"/>
      <c r="E19" s="17" t="inlineStr"/>
      <c r="F19" s="17" t="inlineStr"/>
      <c r="G19" s="17" t="inlineStr"/>
      <c r="H19" s="17" t="inlineStr"/>
      <c r="I19" s="17" t="inlineStr"/>
      <c r="J19" s="17" t="inlineStr"/>
      <c r="K19" s="17" t="inlineStr"/>
      <c r="L19" s="17" t="inlineStr"/>
      <c r="M19" s="17" t="inlineStr"/>
      <c r="N19" s="17" t="inlineStr"/>
      <c r="O19" s="17" t="inlineStr"/>
      <c r="P19" s="17" t="inlineStr"/>
    </row>
    <row r="20">
      <c r="A20" s="17" t="inlineStr"/>
      <c r="B20" s="17" t="inlineStr"/>
      <c r="C20" s="17" t="inlineStr"/>
      <c r="D20" s="17" t="inlineStr"/>
      <c r="E20" s="17" t="inlineStr"/>
      <c r="F20" s="17" t="inlineStr"/>
      <c r="G20" s="17" t="inlineStr"/>
      <c r="H20" s="17" t="inlineStr"/>
      <c r="I20" s="17" t="inlineStr"/>
      <c r="J20" s="17" t="inlineStr"/>
      <c r="K20" s="17" t="inlineStr"/>
      <c r="L20" s="17" t="inlineStr"/>
      <c r="M20" s="17" t="inlineStr"/>
      <c r="N20" s="17" t="inlineStr"/>
      <c r="O20" s="17" t="inlineStr"/>
      <c r="P20" s="17" t="inlineStr"/>
    </row>
  </sheetData>
  <autoFilter ref="A4:P4"/>
  <mergeCells count="2">
    <mergeCell ref="A1:P1"/>
    <mergeCell ref="A2:P2"/>
  </mergeCells>
  <conditionalFormatting sqref="N5:N20">
    <cfRule type="cellIs" priority="1" operator="equal" dxfId="1">
      <formula>"PASS"</formula>
    </cfRule>
    <cfRule type="cellIs" priority="2" operator="equal" dxfId="0">
      <formula>"FAIL"</formula>
    </cfRule>
    <cfRule type="cellIs" priority="3" operator="equal" dxfId="2">
      <formula>"BLOCKED"</formula>
    </cfRule>
    <cfRule type="cellIs" priority="4" operator="equal" dxfId="3">
      <formula>"N/A"</formula>
    </cfRule>
  </conditionalFormatting>
  <dataValidations count="1">
    <dataValidation sqref="N5:N20" showDropDown="0" showInputMessage="0" showErrorMessage="0" allowBlank="1" type="list">
      <formula1>"TODO,PASS,FAIL,BLOCKED,N/A"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6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26" customWidth="1" min="2" max="2"/>
    <col width="44" customWidth="1" min="3" max="3"/>
    <col width="34" customWidth="1" min="4" max="4"/>
    <col width="16" customWidth="1" min="5" max="5"/>
    <col width="16" customWidth="1" min="6" max="6"/>
    <col width="16" customWidth="1" min="7" max="7"/>
    <col width="14" customWidth="1" min="8" max="8"/>
    <col width="14" customWidth="1" min="9" max="9"/>
    <col width="10" customWidth="1" min="10" max="10"/>
    <col width="10" customWidth="1" min="11" max="11"/>
    <col width="10" customWidth="1" min="12" max="12"/>
    <col width="34" customWidth="1" min="13" max="13"/>
  </cols>
  <sheetData>
    <row r="1" ht="26" customHeight="1">
      <c r="A1" s="16" t="inlineStr">
        <is>
          <t>R2 — Calculation chains K1–K5: independent hand calculation (GT-B)</t>
        </is>
      </c>
    </row>
    <row r="2">
      <c r="A2" s="2" t="inlineStr">
        <is>
          <t>Write the formula from the functional description (not from the VBA, not from the Python). Fill inputs from the source sheets. Three columns, three sources: hand · app · Excel. Any inequality is a finding — even when app and Excel agree.</t>
        </is>
      </c>
    </row>
    <row r="4" ht="30" customHeight="1">
      <c r="A4" s="7" t="inlineStr">
        <is>
          <t>Chain</t>
        </is>
      </c>
      <c r="B4" s="7" t="inlineStr">
        <is>
          <t>Line</t>
        </is>
      </c>
      <c r="C4" s="7" t="inlineStr">
        <is>
          <t>Formula (from functional description — cite source)</t>
        </is>
      </c>
      <c r="D4" s="7" t="inlineStr">
        <is>
          <t>Input values (value + source sheet/cell)</t>
        </is>
      </c>
      <c r="E4" s="7" t="inlineStr">
        <is>
          <t>Expected (hand calculation)</t>
        </is>
      </c>
      <c r="F4" s="7" t="inlineStr">
        <is>
          <t>App value</t>
        </is>
      </c>
      <c r="G4" s="7" t="inlineStr">
        <is>
          <t>Excel value (GT-A)</t>
        </is>
      </c>
      <c r="H4" s="7" t="inlineStr">
        <is>
          <t>Δ app − hand</t>
        </is>
      </c>
      <c r="I4" s="7" t="inlineStr">
        <is>
          <t>Δ Excel − hand</t>
        </is>
      </c>
      <c r="J4" s="7" t="inlineStr">
        <is>
          <t>Tolerance</t>
        </is>
      </c>
      <c r="K4" s="7" t="inlineStr">
        <is>
          <t>Match?</t>
        </is>
      </c>
      <c r="L4" s="7" t="inlineStr">
        <is>
          <t>Finding #</t>
        </is>
      </c>
      <c r="M4" s="7" t="inlineStr">
        <is>
          <t>Notes</t>
        </is>
      </c>
    </row>
    <row r="5">
      <c r="A5" s="22" t="inlineStr">
        <is>
          <t>K1 — Purchased raw material with MOQ and lead time   ·   material: ________  period(s): ________  (purchase plan, MOQ rounding, lead-time shift)</t>
        </is>
      </c>
      <c r="B5" s="23" t="n"/>
      <c r="C5" s="23" t="n"/>
      <c r="D5" s="23" t="n"/>
      <c r="E5" s="23" t="n"/>
      <c r="F5" s="23" t="n"/>
      <c r="G5" s="23" t="n"/>
      <c r="H5" s="23" t="n"/>
      <c r="I5" s="23" t="n"/>
      <c r="J5" s="23" t="n"/>
      <c r="K5" s="23" t="n"/>
      <c r="L5" s="23" t="n"/>
      <c r="M5" s="24" t="n"/>
    </row>
    <row r="6">
      <c r="A6" s="25" t="inlineStr">
        <is>
          <t>K1</t>
        </is>
      </c>
      <c r="B6" s="25" t="inlineStr">
        <is>
          <t>L01 Demand forecast</t>
        </is>
      </c>
      <c r="C6" s="17" t="inlineStr">
        <is>
          <t>Forecast sheet value for the period (actuals for actuals months, forecast thereafter)</t>
        </is>
      </c>
      <c r="D6" s="17" t="inlineStr"/>
      <c r="E6" s="26" t="n"/>
      <c r="F6" s="26" t="n"/>
      <c r="G6" s="26" t="n"/>
      <c r="H6" s="27">
        <f>IF(AND(ISNUMBER(F6),ISNUMBER(E6)),F6-E6,"")</f>
        <v/>
      </c>
      <c r="I6" s="27">
        <f>IF(AND(ISNUMBER(G6),ISNUMBER(E6)),G6-E6,"")</f>
        <v/>
      </c>
      <c r="J6" s="21" t="n">
        <v>1e-06</v>
      </c>
      <c r="K6" s="21">
        <f>IF(OR(E6="",F6="",G6=""),"TODO",IF(AND(ABS(H6)&lt;=J6,ABS(I6)&lt;=J6),"PASS","FAIL"))</f>
        <v/>
      </c>
      <c r="L6" s="17" t="inlineStr"/>
      <c r="M6" s="17" t="inlineStr"/>
    </row>
    <row r="7">
      <c r="A7" s="25" t="inlineStr">
        <is>
          <t>K1</t>
        </is>
      </c>
      <c r="B7" s="25" t="inlineStr">
        <is>
          <t>L02 Dependent demand</t>
        </is>
      </c>
      <c r="C7" s="17" t="inlineStr">
        <is>
          <t>Σ over parents: parent L06 production × quantity_per (BOM)</t>
        </is>
      </c>
      <c r="D7" s="17" t="inlineStr"/>
      <c r="E7" s="26" t="n"/>
      <c r="F7" s="26" t="n"/>
      <c r="G7" s="26" t="n"/>
      <c r="H7" s="27">
        <f>IF(AND(ISNUMBER(F7),ISNUMBER(E7)),F7-E7,"")</f>
        <v/>
      </c>
      <c r="I7" s="27">
        <f>IF(AND(ISNUMBER(G7),ISNUMBER(E7)),G7-E7,"")</f>
        <v/>
      </c>
      <c r="J7" s="21" t="n">
        <v>1e-06</v>
      </c>
      <c r="K7" s="21">
        <f>IF(OR(E7="",F7="",G7=""),"TODO",IF(AND(ABS(H7)&lt;=J7,ABS(I7)&lt;=J7),"PASS","FAIL"))</f>
        <v/>
      </c>
      <c r="L7" s="17" t="inlineStr"/>
      <c r="M7" s="17" t="inlineStr"/>
    </row>
    <row r="8">
      <c r="A8" s="25" t="inlineStr">
        <is>
          <t>K1</t>
        </is>
      </c>
      <c r="B8" s="25" t="inlineStr">
        <is>
          <t>L03 Total demand</t>
        </is>
      </c>
      <c r="C8" s="17" t="inlineStr">
        <is>
          <t>L01 + Σ L02</t>
        </is>
      </c>
      <c r="D8" s="17" t="inlineStr"/>
      <c r="E8" s="26" t="n"/>
      <c r="F8" s="26" t="n"/>
      <c r="G8" s="26" t="n"/>
      <c r="H8" s="27">
        <f>IF(AND(ISNUMBER(F8),ISNUMBER(E8)),F8-E8,"")</f>
        <v/>
      </c>
      <c r="I8" s="27">
        <f>IF(AND(ISNUMBER(G8),ISNUMBER(E8)),G8-E8,"")</f>
        <v/>
      </c>
      <c r="J8" s="21" t="n">
        <v>1e-06</v>
      </c>
      <c r="K8" s="21">
        <f>IF(OR(E8="",F8="",G8=""),"TODO",IF(AND(ABS(H8)&lt;=J8,ABS(I8)&lt;=J8),"PASS","FAIL"))</f>
        <v/>
      </c>
      <c r="L8" s="17" t="inlineStr"/>
      <c r="M8" s="17" t="inlineStr"/>
    </row>
    <row r="9">
      <c r="A9" s="25" t="inlineStr">
        <is>
          <t>K1</t>
        </is>
      </c>
      <c r="B9" s="25" t="inlineStr">
        <is>
          <t>L05 Minimum target stock</t>
        </is>
      </c>
      <c r="C9" s="17" t="inlineStr">
        <is>
          <t>safety stock / target stock from Safety stock sheet</t>
        </is>
      </c>
      <c r="D9" s="17" t="inlineStr"/>
      <c r="E9" s="26" t="n"/>
      <c r="F9" s="26" t="n"/>
      <c r="G9" s="26" t="n"/>
      <c r="H9" s="27">
        <f>IF(AND(ISNUMBER(F9),ISNUMBER(E9)),F9-E9,"")</f>
        <v/>
      </c>
      <c r="I9" s="27">
        <f>IF(AND(ISNUMBER(G9),ISNUMBER(E9)),G9-E9,"")</f>
        <v/>
      </c>
      <c r="J9" s="21" t="n">
        <v>1e-06</v>
      </c>
      <c r="K9" s="21">
        <f>IF(OR(E9="",F9="",G9=""),"TODO",IF(AND(ABS(H9)&lt;=J9,ABS(I9)&lt;=J9),"PASS","FAIL"))</f>
        <v/>
      </c>
      <c r="L9" s="17" t="inlineStr"/>
      <c r="M9" s="17" t="inlineStr"/>
    </row>
    <row r="10">
      <c r="A10" s="25" t="inlineStr">
        <is>
          <t>K1</t>
        </is>
      </c>
      <c r="B10" s="25" t="inlineStr">
        <is>
          <t>L04 Inventory (running balance)</t>
        </is>
      </c>
      <c r="C10" s="17" t="inlineStr">
        <is>
          <t>L04[t−1] + L06 purchase receipt[t] − L03[t]; L04[0] = starting stock (Stock level sheet)</t>
        </is>
      </c>
      <c r="D10" s="17" t="inlineStr"/>
      <c r="E10" s="26" t="n"/>
      <c r="F10" s="26" t="n"/>
      <c r="G10" s="26" t="n"/>
      <c r="H10" s="27">
        <f>IF(AND(ISNUMBER(F10),ISNUMBER(E10)),F10-E10,"")</f>
        <v/>
      </c>
      <c r="I10" s="27">
        <f>IF(AND(ISNUMBER(G10),ISNUMBER(E10)),G10-E10,"")</f>
        <v/>
      </c>
      <c r="J10" s="21" t="n">
        <v>1e-06</v>
      </c>
      <c r="K10" s="21">
        <f>IF(OR(E10="",F10="",G10=""),"TODO",IF(AND(ABS(H10)&lt;=J10,ABS(I10)&lt;=J10),"PASS","FAIL"))</f>
        <v/>
      </c>
      <c r="L10" s="17" t="inlineStr"/>
      <c r="M10" s="17" t="inlineStr"/>
    </row>
    <row r="11">
      <c r="A11" s="25" t="inlineStr">
        <is>
          <t>K1</t>
        </is>
      </c>
      <c r="B11" s="25" t="inlineStr">
        <is>
          <t>L06 Purchase receipt</t>
        </is>
      </c>
      <c r="C11" s="17" t="inlineStr">
        <is>
          <t>if L04 without order &lt; L05: order = max(MOQ, shortage) rounded up to MOQ multiple (Purchase sheet: MOQ, lead time)</t>
        </is>
      </c>
      <c r="D11" s="17" t="inlineStr"/>
      <c r="E11" s="26" t="n"/>
      <c r="F11" s="26" t="n"/>
      <c r="G11" s="26" t="n"/>
      <c r="H11" s="27">
        <f>IF(AND(ISNUMBER(F11),ISNUMBER(E11)),F11-E11,"")</f>
        <v/>
      </c>
      <c r="I11" s="27">
        <f>IF(AND(ISNUMBER(G11),ISNUMBER(E11)),G11-E11,"")</f>
        <v/>
      </c>
      <c r="J11" s="21" t="n">
        <v>1e-06</v>
      </c>
      <c r="K11" s="21">
        <f>IF(OR(E11="",F11="",G11=""),"TODO",IF(AND(ABS(H11)&lt;=J11,ABS(I11)&lt;=J11),"PASS","FAIL"))</f>
        <v/>
      </c>
      <c r="L11" s="17" t="inlineStr"/>
      <c r="M11" s="17" t="inlineStr"/>
    </row>
    <row r="12">
      <c r="A12" s="25" t="inlineStr">
        <is>
          <t>K1</t>
        </is>
      </c>
      <c r="B12" s="25" t="inlineStr">
        <is>
          <t>L07 Purchase plan</t>
        </is>
      </c>
      <c r="C12" s="17" t="inlineStr">
        <is>
          <t>L06 purchase receipt shifted back by the lead time (months)</t>
        </is>
      </c>
      <c r="D12" s="17" t="inlineStr"/>
      <c r="E12" s="26" t="n"/>
      <c r="F12" s="26" t="n"/>
      <c r="G12" s="26" t="n"/>
      <c r="H12" s="27">
        <f>IF(AND(ISNUMBER(F12),ISNUMBER(E12)),F12-E12,"")</f>
        <v/>
      </c>
      <c r="I12" s="27">
        <f>IF(AND(ISNUMBER(G12),ISNUMBER(E12)),G12-E12,"")</f>
        <v/>
      </c>
      <c r="J12" s="21" t="n">
        <v>1e-06</v>
      </c>
      <c r="K12" s="21">
        <f>IF(OR(E12="",F12="",G12=""),"TODO",IF(AND(ABS(H12)&lt;=J12,ABS(I12)&lt;=J12),"PASS","FAIL"))</f>
        <v/>
      </c>
      <c r="L12" s="17" t="inlineStr"/>
      <c r="M12" s="17" t="inlineStr"/>
    </row>
    <row r="13">
      <c r="A13" s="25" t="inlineStr">
        <is>
          <t>K1</t>
        </is>
      </c>
      <c r="B13" s="25" t="inlineStr">
        <is>
          <t>Values L01 (revenue)</t>
        </is>
      </c>
      <c r="C13" s="17" t="inlineStr">
        <is>
          <t>sales price (Average sales price sheet) × L01 volume</t>
        </is>
      </c>
      <c r="D13" s="17" t="inlineStr"/>
      <c r="E13" s="26" t="n"/>
      <c r="F13" s="26" t="n"/>
      <c r="G13" s="26" t="n"/>
      <c r="H13" s="27">
        <f>IF(AND(ISNUMBER(F13),ISNUMBER(E13)),F13-E13,"")</f>
        <v/>
      </c>
      <c r="I13" s="27">
        <f>IF(AND(ISNUMBER(G13),ISNUMBER(E13)),G13-E13,"")</f>
        <v/>
      </c>
      <c r="J13" s="21" t="n">
        <v>0.01</v>
      </c>
      <c r="K13" s="21">
        <f>IF(OR(E13="",F13="",G13=""),"TODO",IF(AND(ABS(H13)&lt;=J13,ABS(I13)&lt;=J13),"PASS","FAIL"))</f>
        <v/>
      </c>
      <c r="L13" s="17" t="inlineStr"/>
      <c r="M13" s="17" t="inlineStr"/>
    </row>
    <row r="14">
      <c r="A14" s="25" t="inlineStr">
        <is>
          <t>K1</t>
        </is>
      </c>
      <c r="B14" s="25" t="inlineStr">
        <is>
          <t>Values L06 raw material cost</t>
        </is>
      </c>
      <c r="C14" s="17" t="inlineStr">
        <is>
          <t>cost per unit (Cost raw material) × purchase volume</t>
        </is>
      </c>
      <c r="D14" s="17" t="inlineStr"/>
      <c r="E14" s="26" t="n"/>
      <c r="F14" s="26" t="n"/>
      <c r="G14" s="26" t="n"/>
      <c r="H14" s="27">
        <f>IF(AND(ISNUMBER(F14),ISNUMBER(E14)),F14-E14,"")</f>
        <v/>
      </c>
      <c r="I14" s="27">
        <f>IF(AND(ISNUMBER(G14),ISNUMBER(E14)),G14-E14,"")</f>
        <v/>
      </c>
      <c r="J14" s="21" t="n">
        <v>0.01</v>
      </c>
      <c r="K14" s="21">
        <f>IF(OR(E14="",F14="",G14=""),"TODO",IF(AND(ABS(H14)&lt;=J14,ABS(I14)&lt;=J14),"PASS","FAIL"))</f>
        <v/>
      </c>
      <c r="L14" s="17" t="inlineStr"/>
      <c r="M14" s="17" t="inlineStr"/>
    </row>
    <row r="16">
      <c r="A16" s="22" t="inlineStr">
        <is>
          <t>K2 — Bulk product with BOM to K1   ·   material: ________  (parent → child dependent demand, safety/target stock)</t>
        </is>
      </c>
      <c r="B16" s="23" t="n"/>
      <c r="C16" s="23" t="n"/>
      <c r="D16" s="23" t="n"/>
      <c r="E16" s="23" t="n"/>
      <c r="F16" s="23" t="n"/>
      <c r="G16" s="23" t="n"/>
      <c r="H16" s="23" t="n"/>
      <c r="I16" s="23" t="n"/>
      <c r="J16" s="23" t="n"/>
      <c r="K16" s="23" t="n"/>
      <c r="L16" s="23" t="n"/>
      <c r="M16" s="24" t="n"/>
    </row>
    <row r="17">
      <c r="A17" s="25" t="inlineStr">
        <is>
          <t>K2</t>
        </is>
      </c>
      <c r="B17" s="25" t="inlineStr">
        <is>
          <t>L01 Demand forecast</t>
        </is>
      </c>
      <c r="C17" s="17" t="inlineStr">
        <is>
          <t>Forecast sheet</t>
        </is>
      </c>
      <c r="D17" s="17" t="inlineStr"/>
      <c r="E17" s="26" t="n"/>
      <c r="F17" s="26" t="n"/>
      <c r="G17" s="26" t="n"/>
      <c r="H17" s="27">
        <f>IF(AND(ISNUMBER(F17),ISNUMBER(E17)),F17-E17,"")</f>
        <v/>
      </c>
      <c r="I17" s="27">
        <f>IF(AND(ISNUMBER(G17),ISNUMBER(E17)),G17-E17,"")</f>
        <v/>
      </c>
      <c r="J17" s="21" t="n">
        <v>1e-06</v>
      </c>
      <c r="K17" s="21">
        <f>IF(OR(E17="",F17="",G17=""),"TODO",IF(AND(ABS(H17)&lt;=J17,ABS(I17)&lt;=J17),"PASS","FAIL"))</f>
        <v/>
      </c>
      <c r="L17" s="17" t="inlineStr"/>
      <c r="M17" s="17" t="inlineStr"/>
    </row>
    <row r="18">
      <c r="A18" s="25" t="inlineStr">
        <is>
          <t>K2</t>
        </is>
      </c>
      <c r="B18" s="25" t="inlineStr">
        <is>
          <t>L03 Total demand</t>
        </is>
      </c>
      <c r="C18" s="17" t="inlineStr">
        <is>
          <t>L01 + Σ L02</t>
        </is>
      </c>
      <c r="D18" s="17" t="inlineStr"/>
      <c r="E18" s="26" t="n"/>
      <c r="F18" s="26" t="n"/>
      <c r="G18" s="26" t="n"/>
      <c r="H18" s="27">
        <f>IF(AND(ISNUMBER(F18),ISNUMBER(E18)),F18-E18,"")</f>
        <v/>
      </c>
      <c r="I18" s="27">
        <f>IF(AND(ISNUMBER(G18),ISNUMBER(E18)),G18-E18,"")</f>
        <v/>
      </c>
      <c r="J18" s="21" t="n">
        <v>1e-06</v>
      </c>
      <c r="K18" s="21">
        <f>IF(OR(E18="",F18="",G18=""),"TODO",IF(AND(ABS(H18)&lt;=J18,ABS(I18)&lt;=J18),"PASS","FAIL"))</f>
        <v/>
      </c>
      <c r="L18" s="17" t="inlineStr"/>
      <c r="M18" s="17" t="inlineStr"/>
    </row>
    <row r="19">
      <c r="A19" s="25" t="inlineStr">
        <is>
          <t>K2</t>
        </is>
      </c>
      <c r="B19" s="25" t="inlineStr">
        <is>
          <t>L05 Minimum target stock</t>
        </is>
      </c>
      <c r="C19" s="17" t="inlineStr">
        <is>
          <t>Safety stock sheet</t>
        </is>
      </c>
      <c r="D19" s="17" t="inlineStr"/>
      <c r="E19" s="26" t="n"/>
      <c r="F19" s="26" t="n"/>
      <c r="G19" s="26" t="n"/>
      <c r="H19" s="27">
        <f>IF(AND(ISNUMBER(F19),ISNUMBER(E19)),F19-E19,"")</f>
        <v/>
      </c>
      <c r="I19" s="27">
        <f>IF(AND(ISNUMBER(G19),ISNUMBER(E19)),G19-E19,"")</f>
        <v/>
      </c>
      <c r="J19" s="21" t="n">
        <v>1e-06</v>
      </c>
      <c r="K19" s="21">
        <f>IF(OR(E19="",F19="",G19=""),"TODO",IF(AND(ABS(H19)&lt;=J19,ABS(I19)&lt;=J19),"PASS","FAIL"))</f>
        <v/>
      </c>
      <c r="L19" s="17" t="inlineStr"/>
      <c r="M19" s="17" t="inlineStr"/>
    </row>
    <row r="20">
      <c r="A20" s="25" t="inlineStr">
        <is>
          <t>K2</t>
        </is>
      </c>
      <c r="B20" s="25" t="inlineStr">
        <is>
          <t>L06 Production plan</t>
        </is>
      </c>
      <c r="C20" s="17" t="inlineStr">
        <is>
          <t>ceil((target − (stock − demand)) / lot size) × lot size; 0 when stock suffices</t>
        </is>
      </c>
      <c r="D20" s="17" t="inlineStr"/>
      <c r="E20" s="26" t="n"/>
      <c r="F20" s="26" t="n"/>
      <c r="G20" s="26" t="n"/>
      <c r="H20" s="27">
        <f>IF(AND(ISNUMBER(F20),ISNUMBER(E20)),F20-E20,"")</f>
        <v/>
      </c>
      <c r="I20" s="27">
        <f>IF(AND(ISNUMBER(G20),ISNUMBER(E20)),G20-E20,"")</f>
        <v/>
      </c>
      <c r="J20" s="21" t="n">
        <v>1e-06</v>
      </c>
      <c r="K20" s="21">
        <f>IF(OR(E20="",F20="",G20=""),"TODO",IF(AND(ABS(H20)&lt;=J20,ABS(I20)&lt;=J20),"PASS","FAIL"))</f>
        <v/>
      </c>
      <c r="L20" s="17" t="inlineStr"/>
      <c r="M20" s="17" t="inlineStr"/>
    </row>
    <row r="21">
      <c r="A21" s="25" t="inlineStr">
        <is>
          <t>K2</t>
        </is>
      </c>
      <c r="B21" s="25" t="inlineStr">
        <is>
          <t>L04 Inventory</t>
        </is>
      </c>
      <c r="C21" s="17" t="inlineStr">
        <is>
          <t>L04[t−1] + L06 production[t] − L03[t]</t>
        </is>
      </c>
      <c r="D21" s="17" t="inlineStr"/>
      <c r="E21" s="26" t="n"/>
      <c r="F21" s="26" t="n"/>
      <c r="G21" s="26" t="n"/>
      <c r="H21" s="27">
        <f>IF(AND(ISNUMBER(F21),ISNUMBER(E21)),F21-E21,"")</f>
        <v/>
      </c>
      <c r="I21" s="27">
        <f>IF(AND(ISNUMBER(G21),ISNUMBER(E21)),G21-E21,"")</f>
        <v/>
      </c>
      <c r="J21" s="21" t="n">
        <v>1e-06</v>
      </c>
      <c r="K21" s="21">
        <f>IF(OR(E21="",F21="",G21=""),"TODO",IF(AND(ABS(H21)&lt;=J21,ABS(I21)&lt;=J21),"PASS","FAIL"))</f>
        <v/>
      </c>
      <c r="L21" s="17" t="inlineStr"/>
      <c r="M21" s="17" t="inlineStr"/>
    </row>
    <row r="22">
      <c r="A22" s="25" t="inlineStr">
        <is>
          <t>K2</t>
        </is>
      </c>
      <c r="B22" s="25" t="inlineStr">
        <is>
          <t>L08 Dependent requirements (→ K1)</t>
        </is>
      </c>
      <c r="C22" s="17" t="inlineStr">
        <is>
          <t>L06 production × quantity_per(K1); must equal K1's L02 with aux = this material (invariant I2)</t>
        </is>
      </c>
      <c r="D22" s="17" t="inlineStr"/>
      <c r="E22" s="26" t="n"/>
      <c r="F22" s="26" t="n"/>
      <c r="G22" s="26" t="n"/>
      <c r="H22" s="27">
        <f>IF(AND(ISNUMBER(F22),ISNUMBER(E22)),F22-E22,"")</f>
        <v/>
      </c>
      <c r="I22" s="27">
        <f>IF(AND(ISNUMBER(G22),ISNUMBER(E22)),G22-E22,"")</f>
        <v/>
      </c>
      <c r="J22" s="21" t="n">
        <v>1e-06</v>
      </c>
      <c r="K22" s="21">
        <f>IF(OR(E22="",F22="",G22=""),"TODO",IF(AND(ABS(H22)&lt;=J22,ABS(I22)&lt;=J22),"PASS","FAIL"))</f>
        <v/>
      </c>
      <c r="L22" s="17" t="inlineStr"/>
      <c r="M22" s="17" t="inlineStr"/>
    </row>
    <row r="23">
      <c r="A23" s="25" t="inlineStr">
        <is>
          <t>K2</t>
        </is>
      </c>
      <c r="B23" s="25" t="inlineStr">
        <is>
          <t>L07 Capacity utilization (hours)</t>
        </is>
      </c>
      <c r="C23" s="17" t="inlineStr">
        <is>
          <t>(production qty / base qty) × standard time per routing step, per machine</t>
        </is>
      </c>
      <c r="D23" s="17" t="inlineStr"/>
      <c r="E23" s="26" t="n"/>
      <c r="F23" s="26" t="n"/>
      <c r="G23" s="26" t="n"/>
      <c r="H23" s="27">
        <f>IF(AND(ISNUMBER(F23),ISNUMBER(E23)),F23-E23,"")</f>
        <v/>
      </c>
      <c r="I23" s="27">
        <f>IF(AND(ISNUMBER(G23),ISNUMBER(E23)),G23-E23,"")</f>
        <v/>
      </c>
      <c r="J23" s="21" t="n">
        <v>1e-06</v>
      </c>
      <c r="K23" s="21">
        <f>IF(OR(E23="",F23="",G23=""),"TODO",IF(AND(ABS(H23)&lt;=J23,ABS(I23)&lt;=J23),"PASS","FAIL"))</f>
        <v/>
      </c>
      <c r="L23" s="17" t="inlineStr"/>
      <c r="M23" s="17" t="inlineStr"/>
    </row>
    <row r="24">
      <c r="A24" s="25" t="inlineStr">
        <is>
          <t>K2</t>
        </is>
      </c>
      <c r="B24" s="25" t="inlineStr">
        <is>
          <t>Values L01 (revenue)</t>
        </is>
      </c>
      <c r="C24" s="17" t="inlineStr">
        <is>
          <t>price × L01</t>
        </is>
      </c>
      <c r="D24" s="17" t="inlineStr"/>
      <c r="E24" s="26" t="n"/>
      <c r="F24" s="26" t="n"/>
      <c r="G24" s="26" t="n"/>
      <c r="H24" s="27">
        <f>IF(AND(ISNUMBER(F24),ISNUMBER(E24)),F24-E24,"")</f>
        <v/>
      </c>
      <c r="I24" s="27">
        <f>IF(AND(ISNUMBER(G24),ISNUMBER(E24)),G24-E24,"")</f>
        <v/>
      </c>
      <c r="J24" s="21" t="n">
        <v>0.01</v>
      </c>
      <c r="K24" s="21">
        <f>IF(OR(E24="",F24="",G24=""),"TODO",IF(AND(ABS(H24)&lt;=J24,ABS(I24)&lt;=J24),"PASS","FAIL"))</f>
        <v/>
      </c>
      <c r="L24" s="17" t="inlineStr"/>
      <c r="M24" s="17" t="inlineStr"/>
    </row>
    <row r="26">
      <c r="A26" s="22" t="inlineStr">
        <is>
          <t>K3 — Packaged product with BOM to K2 and packaging goods   ·   material: ________  (two BOM levels, topological order)</t>
        </is>
      </c>
      <c r="B26" s="23" t="n"/>
      <c r="C26" s="23" t="n"/>
      <c r="D26" s="23" t="n"/>
      <c r="E26" s="23" t="n"/>
      <c r="F26" s="23" t="n"/>
      <c r="G26" s="23" t="n"/>
      <c r="H26" s="23" t="n"/>
      <c r="I26" s="23" t="n"/>
      <c r="J26" s="23" t="n"/>
      <c r="K26" s="23" t="n"/>
      <c r="L26" s="23" t="n"/>
      <c r="M26" s="24" t="n"/>
    </row>
    <row r="27">
      <c r="A27" s="25" t="inlineStr">
        <is>
          <t>K3</t>
        </is>
      </c>
      <c r="B27" s="25" t="inlineStr">
        <is>
          <t>L01 Demand forecast</t>
        </is>
      </c>
      <c r="C27" s="17" t="inlineStr">
        <is>
          <t>Forecast sheet</t>
        </is>
      </c>
      <c r="D27" s="17" t="inlineStr"/>
      <c r="E27" s="26" t="n"/>
      <c r="F27" s="26" t="n"/>
      <c r="G27" s="26" t="n"/>
      <c r="H27" s="27">
        <f>IF(AND(ISNUMBER(F27),ISNUMBER(E27)),F27-E27,"")</f>
        <v/>
      </c>
      <c r="I27" s="27">
        <f>IF(AND(ISNUMBER(G27),ISNUMBER(E27)),G27-E27,"")</f>
        <v/>
      </c>
      <c r="J27" s="21" t="n">
        <v>1e-06</v>
      </c>
      <c r="K27" s="21">
        <f>IF(OR(E27="",F27="",G27=""),"TODO",IF(AND(ABS(H27)&lt;=J27,ABS(I27)&lt;=J27),"PASS","FAIL"))</f>
        <v/>
      </c>
      <c r="L27" s="17" t="inlineStr"/>
      <c r="M27" s="17" t="inlineStr"/>
    </row>
    <row r="28">
      <c r="A28" s="25" t="inlineStr">
        <is>
          <t>K3</t>
        </is>
      </c>
      <c r="B28" s="25" t="inlineStr">
        <is>
          <t>L03 Total demand</t>
        </is>
      </c>
      <c r="C28" s="17" t="inlineStr">
        <is>
          <t>L01 + Σ L02</t>
        </is>
      </c>
      <c r="D28" s="17" t="inlineStr"/>
      <c r="E28" s="26" t="n"/>
      <c r="F28" s="26" t="n"/>
      <c r="G28" s="26" t="n"/>
      <c r="H28" s="27">
        <f>IF(AND(ISNUMBER(F28),ISNUMBER(E28)),F28-E28,"")</f>
        <v/>
      </c>
      <c r="I28" s="27">
        <f>IF(AND(ISNUMBER(G28),ISNUMBER(E28)),G28-E28,"")</f>
        <v/>
      </c>
      <c r="J28" s="21" t="n">
        <v>1e-06</v>
      </c>
      <c r="K28" s="21">
        <f>IF(OR(E28="",F28="",G28=""),"TODO",IF(AND(ABS(H28)&lt;=J28,ABS(I28)&lt;=J28),"PASS","FAIL"))</f>
        <v/>
      </c>
      <c r="L28" s="17" t="inlineStr"/>
      <c r="M28" s="17" t="inlineStr"/>
    </row>
    <row r="29">
      <c r="A29" s="25" t="inlineStr">
        <is>
          <t>K3</t>
        </is>
      </c>
      <c r="B29" s="25" t="inlineStr">
        <is>
          <t>L06 Production plan</t>
        </is>
      </c>
      <c r="C29" s="17" t="inlineStr">
        <is>
          <t>lot-size rule as K2</t>
        </is>
      </c>
      <c r="D29" s="17" t="inlineStr"/>
      <c r="E29" s="26" t="n"/>
      <c r="F29" s="26" t="n"/>
      <c r="G29" s="26" t="n"/>
      <c r="H29" s="27">
        <f>IF(AND(ISNUMBER(F29),ISNUMBER(E29)),F29-E29,"")</f>
        <v/>
      </c>
      <c r="I29" s="27">
        <f>IF(AND(ISNUMBER(G29),ISNUMBER(E29)),G29-E29,"")</f>
        <v/>
      </c>
      <c r="J29" s="21" t="n">
        <v>1e-06</v>
      </c>
      <c r="K29" s="21">
        <f>IF(OR(E29="",F29="",G29=""),"TODO",IF(AND(ABS(H29)&lt;=J29,ABS(I29)&lt;=J29),"PASS","FAIL"))</f>
        <v/>
      </c>
      <c r="L29" s="17" t="inlineStr"/>
      <c r="M29" s="17" t="inlineStr"/>
    </row>
    <row r="30">
      <c r="A30" s="25" t="inlineStr">
        <is>
          <t>K3</t>
        </is>
      </c>
      <c r="B30" s="25" t="inlineStr">
        <is>
          <t>L08 Dependent requirements (→ K2 bulk)</t>
        </is>
      </c>
      <c r="C30" s="17" t="inlineStr">
        <is>
          <t>L06 × quantity_per(bulk)</t>
        </is>
      </c>
      <c r="D30" s="17" t="inlineStr"/>
      <c r="E30" s="26" t="n"/>
      <c r="F30" s="26" t="n"/>
      <c r="G30" s="26" t="n"/>
      <c r="H30" s="27">
        <f>IF(AND(ISNUMBER(F30),ISNUMBER(E30)),F30-E30,"")</f>
        <v/>
      </c>
      <c r="I30" s="27">
        <f>IF(AND(ISNUMBER(G30),ISNUMBER(E30)),G30-E30,"")</f>
        <v/>
      </c>
      <c r="J30" s="21" t="n">
        <v>1e-06</v>
      </c>
      <c r="K30" s="21">
        <f>IF(OR(E30="",F30="",G30=""),"TODO",IF(AND(ABS(H30)&lt;=J30,ABS(I30)&lt;=J30),"PASS","FAIL"))</f>
        <v/>
      </c>
      <c r="L30" s="17" t="inlineStr"/>
      <c r="M30" s="17" t="inlineStr"/>
    </row>
    <row r="31">
      <c r="A31" s="25" t="inlineStr">
        <is>
          <t>K3</t>
        </is>
      </c>
      <c r="B31" s="25" t="inlineStr">
        <is>
          <t>L08 Dependent requirements (→ packaging good)</t>
        </is>
      </c>
      <c r="C31" s="17" t="inlineStr">
        <is>
          <t>L06 × quantity_per(packaging)</t>
        </is>
      </c>
      <c r="D31" s="17" t="inlineStr"/>
      <c r="E31" s="26" t="n"/>
      <c r="F31" s="26" t="n"/>
      <c r="G31" s="26" t="n"/>
      <c r="H31" s="27">
        <f>IF(AND(ISNUMBER(F31),ISNUMBER(E31)),F31-E31,"")</f>
        <v/>
      </c>
      <c r="I31" s="27">
        <f>IF(AND(ISNUMBER(G31),ISNUMBER(E31)),G31-E31,"")</f>
        <v/>
      </c>
      <c r="J31" s="21" t="n">
        <v>1e-06</v>
      </c>
      <c r="K31" s="21">
        <f>IF(OR(E31="",F31="",G31=""),"TODO",IF(AND(ABS(H31)&lt;=J31,ABS(I31)&lt;=J31),"PASS","FAIL"))</f>
        <v/>
      </c>
      <c r="L31" s="17" t="inlineStr"/>
      <c r="M31" s="17" t="inlineStr"/>
    </row>
    <row r="32">
      <c r="A32" s="25" t="inlineStr">
        <is>
          <t>K3</t>
        </is>
      </c>
      <c r="B32" s="25" t="inlineStr">
        <is>
          <t>K2 L02 from K3</t>
        </is>
      </c>
      <c r="C32" s="17" t="inlineStr">
        <is>
          <t>must equal the K3 L08 above (I2) — and feed K2's L03 before K2's L06 is computed (topological order)</t>
        </is>
      </c>
      <c r="D32" s="17" t="inlineStr"/>
      <c r="E32" s="26" t="n"/>
      <c r="F32" s="26" t="n"/>
      <c r="G32" s="26" t="n"/>
      <c r="H32" s="27">
        <f>IF(AND(ISNUMBER(F32),ISNUMBER(E32)),F32-E32,"")</f>
        <v/>
      </c>
      <c r="I32" s="27">
        <f>IF(AND(ISNUMBER(G32),ISNUMBER(E32)),G32-E32,"")</f>
        <v/>
      </c>
      <c r="J32" s="21" t="n">
        <v>1e-06</v>
      </c>
      <c r="K32" s="21">
        <f>IF(OR(E32="",F32="",G32=""),"TODO",IF(AND(ABS(H32)&lt;=J32,ABS(I32)&lt;=J32),"PASS","FAIL"))</f>
        <v/>
      </c>
      <c r="L32" s="17" t="inlineStr"/>
      <c r="M32" s="17" t="inlineStr"/>
    </row>
    <row r="33">
      <c r="A33" s="25" t="inlineStr">
        <is>
          <t>K3</t>
        </is>
      </c>
      <c r="B33" s="25" t="inlineStr">
        <is>
          <t>L04 Inventory</t>
        </is>
      </c>
      <c r="C33" s="17" t="inlineStr">
        <is>
          <t>running balance</t>
        </is>
      </c>
      <c r="D33" s="17" t="inlineStr"/>
      <c r="E33" s="26" t="n"/>
      <c r="F33" s="26" t="n"/>
      <c r="G33" s="26" t="n"/>
      <c r="H33" s="27">
        <f>IF(AND(ISNUMBER(F33),ISNUMBER(E33)),F33-E33,"")</f>
        <v/>
      </c>
      <c r="I33" s="27">
        <f>IF(AND(ISNUMBER(G33),ISNUMBER(E33)),G33-E33,"")</f>
        <v/>
      </c>
      <c r="J33" s="21" t="n">
        <v>1e-06</v>
      </c>
      <c r="K33" s="21">
        <f>IF(OR(E33="",F33="",G33=""),"TODO",IF(AND(ABS(H33)&lt;=J33,ABS(I33)&lt;=J33),"PASS","FAIL"))</f>
        <v/>
      </c>
      <c r="L33" s="17" t="inlineStr"/>
      <c r="M33" s="17" t="inlineStr"/>
    </row>
    <row r="35">
      <c r="A35" s="22" t="inlineStr">
        <is>
          <t>K4 — Machine group with ≥ 2 machines used by K2/K3   ·   group: ________  machines: ________  period: ________</t>
        </is>
      </c>
      <c r="B35" s="23" t="n"/>
      <c r="C35" s="23" t="n"/>
      <c r="D35" s="23" t="n"/>
      <c r="E35" s="23" t="n"/>
      <c r="F35" s="23" t="n"/>
      <c r="G35" s="23" t="n"/>
      <c r="H35" s="23" t="n"/>
      <c r="I35" s="23" t="n"/>
      <c r="J35" s="23" t="n"/>
      <c r="K35" s="23" t="n"/>
      <c r="L35" s="23" t="n"/>
      <c r="M35" s="24" t="n"/>
    </row>
    <row r="36">
      <c r="A36" s="25" t="inlineStr">
        <is>
          <t>K4</t>
        </is>
      </c>
      <c r="B36" s="25" t="inlineStr">
        <is>
          <t>L07 Capacity utilization — machine 1</t>
        </is>
      </c>
      <c r="C36" s="17" t="inlineStr">
        <is>
          <t>Σ over materials routed on the machine: (qty / base qty) × std time</t>
        </is>
      </c>
      <c r="D36" s="17" t="inlineStr"/>
      <c r="E36" s="26" t="n"/>
      <c r="F36" s="26" t="n"/>
      <c r="G36" s="26" t="n"/>
      <c r="H36" s="27">
        <f>IF(AND(ISNUMBER(F36),ISNUMBER(E36)),F36-E36,"")</f>
        <v/>
      </c>
      <c r="I36" s="27">
        <f>IF(AND(ISNUMBER(G36),ISNUMBER(E36)),G36-E36,"")</f>
        <v/>
      </c>
      <c r="J36" s="21" t="n">
        <v>1e-06</v>
      </c>
      <c r="K36" s="21">
        <f>IF(OR(E36="",F36="",G36=""),"TODO",IF(AND(ABS(H36)&lt;=J36,ABS(I36)&lt;=J36),"PASS","FAIL"))</f>
        <v/>
      </c>
      <c r="L36" s="17" t="inlineStr"/>
      <c r="M36" s="17" t="inlineStr"/>
    </row>
    <row r="37">
      <c r="A37" s="25" t="inlineStr">
        <is>
          <t>K4</t>
        </is>
      </c>
      <c r="B37" s="25" t="inlineStr">
        <is>
          <t>L07 Capacity utilization — machine 2</t>
        </is>
      </c>
      <c r="C37" s="17" t="inlineStr">
        <is>
          <t>idem</t>
        </is>
      </c>
      <c r="D37" s="17" t="inlineStr"/>
      <c r="E37" s="26" t="n"/>
      <c r="F37" s="26" t="n"/>
      <c r="G37" s="26" t="n"/>
      <c r="H37" s="27">
        <f>IF(AND(ISNUMBER(F37),ISNUMBER(E37)),F37-E37,"")</f>
        <v/>
      </c>
      <c r="I37" s="27">
        <f>IF(AND(ISNUMBER(G37),ISNUMBER(E37)),G37-E37,"")</f>
        <v/>
      </c>
      <c r="J37" s="21" t="n">
        <v>1e-06</v>
      </c>
      <c r="K37" s="21">
        <f>IF(OR(E37="",F37="",G37=""),"TODO",IF(AND(ABS(H37)&lt;=J37,ABS(I37)&lt;=J37),"PASS","FAIL"))</f>
        <v/>
      </c>
      <c r="L37" s="17" t="inlineStr"/>
      <c r="M37" s="17" t="inlineStr"/>
    </row>
    <row r="38">
      <c r="A38" s="25" t="inlineStr">
        <is>
          <t>K4</t>
        </is>
      </c>
      <c r="B38" s="25" t="inlineStr">
        <is>
          <t>L07 Capacity utilization — group</t>
        </is>
      </c>
      <c r="C38" s="17" t="inlineStr">
        <is>
          <t>mill groups: MAX of machines; other groups: Σ — record which rule applies (I7)</t>
        </is>
      </c>
      <c r="D38" s="17" t="inlineStr"/>
      <c r="E38" s="26" t="n"/>
      <c r="F38" s="26" t="n"/>
      <c r="G38" s="26" t="n"/>
      <c r="H38" s="27">
        <f>IF(AND(ISNUMBER(F38),ISNUMBER(E38)),F38-E38,"")</f>
        <v/>
      </c>
      <c r="I38" s="27">
        <f>IF(AND(ISNUMBER(G38),ISNUMBER(E38)),G38-E38,"")</f>
        <v/>
      </c>
      <c r="J38" s="21" t="n">
        <v>1e-06</v>
      </c>
      <c r="K38" s="21">
        <f>IF(OR(E38="",F38="",G38=""),"TODO",IF(AND(ABS(H38)&lt;=J38,ABS(I38)&lt;=J38),"PASS","FAIL"))</f>
        <v/>
      </c>
      <c r="L38" s="17" t="inlineStr"/>
      <c r="M38" s="17" t="inlineStr"/>
    </row>
    <row r="39">
      <c r="A39" s="25" t="inlineStr">
        <is>
          <t>K4</t>
        </is>
      </c>
      <c r="B39" s="25" t="inlineStr">
        <is>
          <t>L11 Shift availability</t>
        </is>
      </c>
      <c r="C39" s="17" t="inlineStr">
        <is>
          <t>shift system hours per month (FTE sheet: 2-shift / 3-shift / 24/7) × availability %</t>
        </is>
      </c>
      <c r="D39" s="17" t="inlineStr"/>
      <c r="E39" s="26" t="n"/>
      <c r="F39" s="26" t="n"/>
      <c r="G39" s="26" t="n"/>
      <c r="H39" s="27">
        <f>IF(AND(ISNUMBER(F39),ISNUMBER(E39)),F39-E39,"")</f>
        <v/>
      </c>
      <c r="I39" s="27">
        <f>IF(AND(ISNUMBER(G39),ISNUMBER(E39)),G39-E39,"")</f>
        <v/>
      </c>
      <c r="J39" s="21" t="n">
        <v>1e-06</v>
      </c>
      <c r="K39" s="21">
        <f>IF(OR(E39="",F39="",G39=""),"TODO",IF(AND(ABS(H39)&lt;=J39,ABS(I39)&lt;=J39),"PASS","FAIL"))</f>
        <v/>
      </c>
      <c r="L39" s="17" t="inlineStr"/>
      <c r="M39" s="17" t="inlineStr"/>
    </row>
    <row r="40">
      <c r="A40" s="25" t="inlineStr">
        <is>
          <t>K4</t>
        </is>
      </c>
      <c r="B40" s="25" t="inlineStr">
        <is>
          <t>L09 Available capacity</t>
        </is>
      </c>
      <c r="C40" s="17" t="inlineStr">
        <is>
          <t>L11 × OEE (OEE + Machine groups sheet; unlimited machines never bottleneck)</t>
        </is>
      </c>
      <c r="D40" s="17" t="inlineStr"/>
      <c r="E40" s="26" t="n"/>
      <c r="F40" s="26" t="n"/>
      <c r="G40" s="26" t="n"/>
      <c r="H40" s="27">
        <f>IF(AND(ISNUMBER(F40),ISNUMBER(E40)),F40-E40,"")</f>
        <v/>
      </c>
      <c r="I40" s="27">
        <f>IF(AND(ISNUMBER(G40),ISNUMBER(E40)),G40-E40,"")</f>
        <v/>
      </c>
      <c r="J40" s="21" t="n">
        <v>1e-06</v>
      </c>
      <c r="K40" s="21">
        <f>IF(OR(E40="",F40="",G40=""),"TODO",IF(AND(ABS(H40)&lt;=J40,ABS(I40)&lt;=J40),"PASS","FAIL"))</f>
        <v/>
      </c>
      <c r="L40" s="17" t="inlineStr"/>
      <c r="M40" s="17" t="inlineStr"/>
    </row>
    <row r="41">
      <c r="A41" s="25" t="inlineStr">
        <is>
          <t>K4</t>
        </is>
      </c>
      <c r="B41" s="25" t="inlineStr">
        <is>
          <t>L10 Utilization rate</t>
        </is>
      </c>
      <c r="C41" s="17" t="inlineStr">
        <is>
          <t>L07 ÷ L09 (fraction 0–1 — record the unit used by each source)</t>
        </is>
      </c>
      <c r="D41" s="17" t="inlineStr"/>
      <c r="E41" s="26" t="n"/>
      <c r="F41" s="26" t="n"/>
      <c r="G41" s="26" t="n"/>
      <c r="H41" s="27">
        <f>IF(AND(ISNUMBER(F41),ISNUMBER(E41)),F41-E41,"")</f>
        <v/>
      </c>
      <c r="I41" s="27">
        <f>IF(AND(ISNUMBER(G41),ISNUMBER(E41)),G41-E41,"")</f>
        <v/>
      </c>
      <c r="J41" s="21" t="n">
        <v>1e-06</v>
      </c>
      <c r="K41" s="21">
        <f>IF(OR(E41="",F41="",G41=""),"TODO",IF(AND(ABS(H41)&lt;=J41,ABS(I41)&lt;=J41),"PASS","FAIL"))</f>
        <v/>
      </c>
      <c r="L41" s="17" t="inlineStr"/>
      <c r="M41" s="17" t="inlineStr"/>
    </row>
    <row r="42">
      <c r="A42" s="25" t="inlineStr">
        <is>
          <t>K4</t>
        </is>
      </c>
      <c r="B42" s="25" t="inlineStr">
        <is>
          <t>L12 FTE requirements</t>
        </is>
      </c>
      <c r="C42" s="17" t="inlineStr">
        <is>
          <t>total hours ÷ (FTE hours per year ÷ 12) — or staffing norm × hours when workbench norms exist</t>
        </is>
      </c>
      <c r="D42" s="17" t="inlineStr"/>
      <c r="E42" s="26" t="n"/>
      <c r="F42" s="26" t="n"/>
      <c r="G42" s="26" t="n"/>
      <c r="H42" s="27">
        <f>IF(AND(ISNUMBER(F42),ISNUMBER(E42)),F42-E42,"")</f>
        <v/>
      </c>
      <c r="I42" s="27">
        <f>IF(AND(ISNUMBER(G42),ISNUMBER(E42)),G42-E42,"")</f>
        <v/>
      </c>
      <c r="J42" s="21" t="n">
        <v>0.001</v>
      </c>
      <c r="K42" s="21">
        <f>IF(OR(E42="",F42="",G42=""),"TODO",IF(AND(ABS(H42)&lt;=J42,ABS(I42)&lt;=J42),"PASS","FAIL"))</f>
        <v/>
      </c>
      <c r="L42" s="17" t="inlineStr"/>
      <c r="M42" s="17" t="inlineStr"/>
    </row>
    <row r="44">
      <c r="A44" s="22" t="inlineStr">
        <is>
          <t>K5 — FTE row + the 20 consolidation lines for one month   ·   group/truck/control room: ________  month: ________</t>
        </is>
      </c>
      <c r="B44" s="23" t="n"/>
      <c r="C44" s="23" t="n"/>
      <c r="D44" s="23" t="n"/>
      <c r="E44" s="23" t="n"/>
      <c r="F44" s="23" t="n"/>
      <c r="G44" s="23" t="n"/>
      <c r="H44" s="23" t="n"/>
      <c r="I44" s="23" t="n"/>
      <c r="J44" s="23" t="n"/>
      <c r="K44" s="23" t="n"/>
      <c r="L44" s="23" t="n"/>
      <c r="M44" s="24" t="n"/>
    </row>
    <row r="45">
      <c r="A45" s="25" t="inlineStr">
        <is>
          <t>K5</t>
        </is>
      </c>
      <c r="B45" s="25" t="inlineStr">
        <is>
          <t>L12 FTE — production group</t>
        </is>
      </c>
      <c r="C45" s="17" t="inlineStr">
        <is>
          <t>as K4</t>
        </is>
      </c>
      <c r="D45" s="17" t="inlineStr"/>
      <c r="E45" s="26" t="n"/>
      <c r="F45" s="26" t="n"/>
      <c r="G45" s="26" t="n"/>
      <c r="H45" s="27">
        <f>IF(AND(ISNUMBER(F45),ISNUMBER(E45)),F45-E45,"")</f>
        <v/>
      </c>
      <c r="I45" s="27">
        <f>IF(AND(ISNUMBER(G45),ISNUMBER(E45)),G45-E45,"")</f>
        <v/>
      </c>
      <c r="J45" s="21" t="n">
        <v>0.001</v>
      </c>
      <c r="K45" s="21">
        <f>IF(OR(E45="",F45="",G45=""),"TODO",IF(AND(ABS(H45)&lt;=J45,ABS(I45)&lt;=J45),"PASS","FAIL"))</f>
        <v/>
      </c>
      <c r="L45" s="17" t="inlineStr"/>
      <c r="M45" s="17" t="inlineStr"/>
    </row>
    <row r="46">
      <c r="A46" s="25" t="inlineStr">
        <is>
          <t>K5</t>
        </is>
      </c>
      <c r="B46" s="25" t="inlineStr">
        <is>
          <t>L12 FTE — trucks</t>
        </is>
      </c>
      <c r="C46" s="17" t="inlineStr">
        <is>
          <t>tons ÷ tons per truck → hours → FTE (Material master: Ton per truck, FTE requirements)</t>
        </is>
      </c>
      <c r="D46" s="17" t="inlineStr"/>
      <c r="E46" s="26" t="n"/>
      <c r="F46" s="26" t="n"/>
      <c r="G46" s="26" t="n"/>
      <c r="H46" s="27">
        <f>IF(AND(ISNUMBER(F46),ISNUMBER(E46)),F46-E46,"")</f>
        <v/>
      </c>
      <c r="I46" s="27">
        <f>IF(AND(ISNUMBER(G46),ISNUMBER(E46)),G46-E46,"")</f>
        <v/>
      </c>
      <c r="J46" s="21" t="n">
        <v>0.001</v>
      </c>
      <c r="K46" s="21">
        <f>IF(OR(E46="",F46="",G46=""),"TODO",IF(AND(ABS(H46)&lt;=J46,ABS(I46)&lt;=J46),"PASS","FAIL"))</f>
        <v/>
      </c>
      <c r="L46" s="17" t="inlineStr"/>
      <c r="M46" s="17" t="inlineStr"/>
    </row>
    <row r="47">
      <c r="A47" s="25" t="inlineStr">
        <is>
          <t>K5</t>
        </is>
      </c>
      <c r="B47" s="25" t="inlineStr">
        <is>
          <t>L12 FTE — control room</t>
        </is>
      </c>
      <c r="C47" s="17" t="inlineStr">
        <is>
          <t>fixed FTE per shift × shifts</t>
        </is>
      </c>
      <c r="D47" s="17" t="inlineStr"/>
      <c r="E47" s="26" t="n"/>
      <c r="F47" s="26" t="n"/>
      <c r="G47" s="26" t="n"/>
      <c r="H47" s="27">
        <f>IF(AND(ISNUMBER(F47),ISNUMBER(E47)),F47-E47,"")</f>
        <v/>
      </c>
      <c r="I47" s="27">
        <f>IF(AND(ISNUMBER(G47),ISNUMBER(E47)),G47-E47,"")</f>
        <v/>
      </c>
      <c r="J47" s="21" t="n">
        <v>0.001</v>
      </c>
      <c r="K47" s="21">
        <f>IF(OR(E47="",F47="",G47=""),"TODO",IF(AND(ABS(H47)&lt;=J47,ABS(I47)&lt;=J47),"PASS","FAIL"))</f>
        <v/>
      </c>
      <c r="L47" s="17" t="inlineStr"/>
      <c r="M47" s="17" t="inlineStr"/>
    </row>
    <row r="48">
      <c r="A48" s="25" t="inlineStr">
        <is>
          <t>K5</t>
        </is>
      </c>
      <c r="B48" s="25" t="inlineStr">
        <is>
          <t>Consolidation: TURNOVER</t>
        </is>
      </c>
      <c r="C48" s="17" t="inlineStr">
        <is>
          <t>Σ Values L01 over all materials</t>
        </is>
      </c>
      <c r="D48" s="17" t="inlineStr"/>
      <c r="E48" s="26" t="n"/>
      <c r="F48" s="26" t="n"/>
      <c r="G48" s="26" t="n"/>
      <c r="H48" s="27">
        <f>IF(AND(ISNUMBER(F48),ISNUMBER(E48)),F48-E48,"")</f>
        <v/>
      </c>
      <c r="I48" s="27">
        <f>IF(AND(ISNUMBER(G48),ISNUMBER(E48)),G48-E48,"")</f>
        <v/>
      </c>
      <c r="J48" s="21" t="n">
        <v>0.01</v>
      </c>
      <c r="K48" s="21">
        <f>IF(OR(E48="",F48="",G48=""),"TODO",IF(AND(ABS(H48)&lt;=J48,ABS(I48)&lt;=J48),"PASS","FAIL"))</f>
        <v/>
      </c>
      <c r="L48" s="17" t="inlineStr"/>
      <c r="M48" s="17" t="inlineStr"/>
    </row>
    <row r="49">
      <c r="A49" s="25" t="inlineStr">
        <is>
          <t>K5</t>
        </is>
      </c>
      <c r="B49" s="25" t="inlineStr">
        <is>
          <t>Consolidation: RAW MATERIAL COST</t>
        </is>
      </c>
      <c r="C49" s="17" t="inlineStr">
        <is>
          <t>Σ raw material cost</t>
        </is>
      </c>
      <c r="D49" s="17" t="inlineStr"/>
      <c r="E49" s="26" t="n"/>
      <c r="F49" s="26" t="n"/>
      <c r="G49" s="26" t="n"/>
      <c r="H49" s="27">
        <f>IF(AND(ISNUMBER(F49),ISNUMBER(E49)),F49-E49,"")</f>
        <v/>
      </c>
      <c r="I49" s="27">
        <f>IF(AND(ISNUMBER(G49),ISNUMBER(E49)),G49-E49,"")</f>
        <v/>
      </c>
      <c r="J49" s="21" t="n">
        <v>0.01</v>
      </c>
      <c r="K49" s="21">
        <f>IF(OR(E49="",F49="",G49=""),"TODO",IF(AND(ABS(H49)&lt;=J49,ABS(I49)&lt;=J49),"PASS","FAIL"))</f>
        <v/>
      </c>
      <c r="L49" s="17" t="inlineStr"/>
      <c r="M49" s="17" t="inlineStr"/>
    </row>
    <row r="50">
      <c r="A50" s="25" t="inlineStr">
        <is>
          <t>K5</t>
        </is>
      </c>
      <c r="B50" s="25" t="inlineStr">
        <is>
          <t>Consolidation: MACHINE COST</t>
        </is>
      </c>
      <c r="C50" s="17" t="inlineStr">
        <is>
          <t>Σ L07 hours × variable cost per hour (Cost machine hour)</t>
        </is>
      </c>
      <c r="D50" s="17" t="inlineStr"/>
      <c r="E50" s="26" t="n"/>
      <c r="F50" s="26" t="n"/>
      <c r="G50" s="26" t="n"/>
      <c r="H50" s="27">
        <f>IF(AND(ISNUMBER(F50),ISNUMBER(E50)),F50-E50,"")</f>
        <v/>
      </c>
      <c r="I50" s="27">
        <f>IF(AND(ISNUMBER(G50),ISNUMBER(E50)),G50-E50,"")</f>
        <v/>
      </c>
      <c r="J50" s="21" t="n">
        <v>0.01</v>
      </c>
      <c r="K50" s="21">
        <f>IF(OR(E50="",F50="",G50=""),"TODO",IF(AND(ABS(H50)&lt;=J50,ABS(I50)&lt;=J50),"PASS","FAIL"))</f>
        <v/>
      </c>
      <c r="L50" s="17" t="inlineStr"/>
      <c r="M50" s="17" t="inlineStr"/>
    </row>
    <row r="51">
      <c r="A51" s="25" t="inlineStr">
        <is>
          <t>K5</t>
        </is>
      </c>
      <c r="B51" s="25" t="inlineStr">
        <is>
          <t>Consolidation: DIRECT FTE COST</t>
        </is>
      </c>
      <c r="C51" s="17" t="inlineStr">
        <is>
          <t>Σ L12 × cost per FTE per year ÷ 12 — scope: production FTE only vs. all groups (definition C-decision!)</t>
        </is>
      </c>
      <c r="D51" s="17" t="inlineStr"/>
      <c r="E51" s="26" t="n"/>
      <c r="F51" s="26" t="n"/>
      <c r="G51" s="26" t="n"/>
      <c r="H51" s="27">
        <f>IF(AND(ISNUMBER(F51),ISNUMBER(E51)),F51-E51,"")</f>
        <v/>
      </c>
      <c r="I51" s="27">
        <f>IF(AND(ISNUMBER(G51),ISNUMBER(E51)),G51-E51,"")</f>
        <v/>
      </c>
      <c r="J51" s="21" t="n">
        <v>0.01</v>
      </c>
      <c r="K51" s="21">
        <f>IF(OR(E51="",F51="",G51=""),"TODO",IF(AND(ABS(H51)&lt;=J51,ABS(I51)&lt;=J51),"PASS","FAIL"))</f>
        <v/>
      </c>
      <c r="L51" s="17" t="inlineStr"/>
      <c r="M51" s="17" t="inlineStr"/>
    </row>
    <row r="52">
      <c r="A52" s="25" t="inlineStr">
        <is>
          <t>K5</t>
        </is>
      </c>
      <c r="B52" s="25" t="inlineStr">
        <is>
          <t>Consolidation: COST OF GOODS</t>
        </is>
      </c>
      <c r="C52" s="17" t="inlineStr">
        <is>
          <t>raw material + machine + direct FTE (+ other cost lines per spec)</t>
        </is>
      </c>
      <c r="D52" s="17" t="inlineStr"/>
      <c r="E52" s="26" t="n"/>
      <c r="F52" s="26" t="n"/>
      <c r="G52" s="26" t="n"/>
      <c r="H52" s="27">
        <f>IF(AND(ISNUMBER(F52),ISNUMBER(E52)),F52-E52,"")</f>
        <v/>
      </c>
      <c r="I52" s="27">
        <f>IF(AND(ISNUMBER(G52),ISNUMBER(E52)),G52-E52,"")</f>
        <v/>
      </c>
      <c r="J52" s="21" t="n">
        <v>0.01</v>
      </c>
      <c r="K52" s="21">
        <f>IF(OR(E52="",F52="",G52=""),"TODO",IF(AND(ABS(H52)&lt;=J52,ABS(I52)&lt;=J52),"PASS","FAIL"))</f>
        <v/>
      </c>
      <c r="L52" s="17" t="inlineStr"/>
      <c r="M52" s="17" t="inlineStr"/>
    </row>
    <row r="53">
      <c r="A53" s="25" t="inlineStr">
        <is>
          <t>K5</t>
        </is>
      </c>
      <c r="B53" s="25" t="inlineStr">
        <is>
          <t>Consolidation: GROSS MARGIN</t>
        </is>
      </c>
      <c r="C53" s="17" t="inlineStr">
        <is>
          <t>TURNOVER − COST OF GOODS</t>
        </is>
      </c>
      <c r="D53" s="17" t="inlineStr"/>
      <c r="E53" s="26" t="n"/>
      <c r="F53" s="26" t="n"/>
      <c r="G53" s="26" t="n"/>
      <c r="H53" s="27">
        <f>IF(AND(ISNUMBER(F53),ISNUMBER(E53)),F53-E53,"")</f>
        <v/>
      </c>
      <c r="I53" s="27">
        <f>IF(AND(ISNUMBER(G53),ISNUMBER(E53)),G53-E53,"")</f>
        <v/>
      </c>
      <c r="J53" s="21" t="n">
        <v>0.01</v>
      </c>
      <c r="K53" s="21">
        <f>IF(OR(E53="",F53="",G53=""),"TODO",IF(AND(ABS(H53)&lt;=J53,ABS(I53)&lt;=J53),"PASS","FAIL"))</f>
        <v/>
      </c>
      <c r="L53" s="17" t="inlineStr"/>
      <c r="M53" s="17" t="inlineStr"/>
    </row>
    <row r="54">
      <c r="A54" s="25" t="inlineStr">
        <is>
          <t>K5</t>
        </is>
      </c>
      <c r="B54" s="25" t="inlineStr">
        <is>
          <t>Consolidation: EBITDA</t>
        </is>
      </c>
      <c r="C54" s="17" t="inlineStr">
        <is>
          <t>GROSS MARGIN − fixed costs (constant per month, Valuation parameters)</t>
        </is>
      </c>
      <c r="D54" s="17" t="inlineStr"/>
      <c r="E54" s="26" t="n"/>
      <c r="F54" s="26" t="n"/>
      <c r="G54" s="26" t="n"/>
      <c r="H54" s="27">
        <f>IF(AND(ISNUMBER(F54),ISNUMBER(E54)),F54-E54,"")</f>
        <v/>
      </c>
      <c r="I54" s="27">
        <f>IF(AND(ISNUMBER(G54),ISNUMBER(E54)),G54-E54,"")</f>
        <v/>
      </c>
      <c r="J54" s="21" t="n">
        <v>0.01</v>
      </c>
      <c r="K54" s="21">
        <f>IF(OR(E54="",F54="",G54=""),"TODO",IF(AND(ABS(H54)&lt;=J54,ABS(I54)&lt;=J54),"PASS","FAIL"))</f>
        <v/>
      </c>
      <c r="L54" s="17" t="inlineStr"/>
      <c r="M54" s="17" t="inlineStr"/>
    </row>
    <row r="55">
      <c r="A55" s="25" t="inlineStr">
        <is>
          <t>K5</t>
        </is>
      </c>
      <c r="B55" s="25" t="inlineStr">
        <is>
          <t>Consolidation: EBIT</t>
        </is>
      </c>
      <c r="C55" s="17" t="inlineStr">
        <is>
          <t>EBITDA − depreciation (constant per month)</t>
        </is>
      </c>
      <c r="D55" s="17" t="inlineStr"/>
      <c r="E55" s="26" t="n"/>
      <c r="F55" s="26" t="n"/>
      <c r="G55" s="26" t="n"/>
      <c r="H55" s="27">
        <f>IF(AND(ISNUMBER(F55),ISNUMBER(E55)),F55-E55,"")</f>
        <v/>
      </c>
      <c r="I55" s="27">
        <f>IF(AND(ISNUMBER(G55),ISNUMBER(E55)),G55-E55,"")</f>
        <v/>
      </c>
      <c r="J55" s="21" t="n">
        <v>0.01</v>
      </c>
      <c r="K55" s="21">
        <f>IF(OR(E55="",F55="",G55=""),"TODO",IF(AND(ABS(H55)&lt;=J55,ABS(I55)&lt;=J55),"PASS","FAIL"))</f>
        <v/>
      </c>
      <c r="L55" s="17" t="inlineStr"/>
      <c r="M55" s="17" t="inlineStr"/>
    </row>
    <row r="56">
      <c r="A56" s="25" t="inlineStr">
        <is>
          <t>K5</t>
        </is>
      </c>
      <c r="B56" s="25" t="inlineStr">
        <is>
          <t>Consolidation: INVENTORY VALUE</t>
        </is>
      </c>
      <c r="C56" s="17" t="inlineStr">
        <is>
          <t>Σ L04 × cost per unit; starting stock value must be filled (finding 2)</t>
        </is>
      </c>
      <c r="D56" s="17" t="inlineStr"/>
      <c r="E56" s="26" t="n"/>
      <c r="F56" s="26" t="n"/>
      <c r="G56" s="26" t="n"/>
      <c r="H56" s="27">
        <f>IF(AND(ISNUMBER(F56),ISNUMBER(E56)),F56-E56,"")</f>
        <v/>
      </c>
      <c r="I56" s="27">
        <f>IF(AND(ISNUMBER(G56),ISNUMBER(E56)),G56-E56,"")</f>
        <v/>
      </c>
      <c r="J56" s="21" t="n">
        <v>0.01</v>
      </c>
      <c r="K56" s="21">
        <f>IF(OR(E56="",F56="",G56=""),"TODO",IF(AND(ABS(H56)&lt;=J56,ABS(I56)&lt;=J56),"PASS","FAIL"))</f>
        <v/>
      </c>
      <c r="L56" s="17" t="inlineStr"/>
      <c r="M56" s="17" t="inlineStr"/>
    </row>
    <row r="57">
      <c r="A57" s="25" t="inlineStr">
        <is>
          <t>K5</t>
        </is>
      </c>
      <c r="B57" s="25" t="inlineStr">
        <is>
          <t>Consolidation: WORKING CAPITAL REQUIREMENTS</t>
        </is>
      </c>
      <c r="C57" s="17" t="inlineStr">
        <is>
          <t>per spec (inventory value + receivables − payables …)</t>
        </is>
      </c>
      <c r="D57" s="17" t="inlineStr"/>
      <c r="E57" s="26" t="n"/>
      <c r="F57" s="26" t="n"/>
      <c r="G57" s="26" t="n"/>
      <c r="H57" s="27">
        <f>IF(AND(ISNUMBER(F57),ISNUMBER(E57)),F57-E57,"")</f>
        <v/>
      </c>
      <c r="I57" s="27">
        <f>IF(AND(ISNUMBER(G57),ISNUMBER(E57)),G57-E57,"")</f>
        <v/>
      </c>
      <c r="J57" s="21" t="n">
        <v>0.01</v>
      </c>
      <c r="K57" s="21">
        <f>IF(OR(E57="",F57="",G57=""),"TODO",IF(AND(ABS(H57)&lt;=J57,ABS(I57)&lt;=J57),"PASS","FAIL"))</f>
        <v/>
      </c>
      <c r="L57" s="17" t="inlineStr"/>
      <c r="M57" s="17" t="inlineStr"/>
    </row>
    <row r="58">
      <c r="A58" s="25" t="inlineStr">
        <is>
          <t>K5</t>
        </is>
      </c>
      <c r="B58" s="25" t="inlineStr">
        <is>
          <t>Consolidation: CAPITAL INVESTMENT</t>
        </is>
      </c>
      <c r="C58" s="17" t="inlineStr">
        <is>
          <t>per spec</t>
        </is>
      </c>
      <c r="D58" s="17" t="inlineStr"/>
      <c r="E58" s="26" t="n"/>
      <c r="F58" s="26" t="n"/>
      <c r="G58" s="26" t="n"/>
      <c r="H58" s="27">
        <f>IF(AND(ISNUMBER(F58),ISNUMBER(E58)),F58-E58,"")</f>
        <v/>
      </c>
      <c r="I58" s="27">
        <f>IF(AND(ISNUMBER(G58),ISNUMBER(E58)),G58-E58,"")</f>
        <v/>
      </c>
      <c r="J58" s="21" t="n">
        <v>0.01</v>
      </c>
      <c r="K58" s="21">
        <f>IF(OR(E58="",F58="",G58=""),"TODO",IF(AND(ABS(H58)&lt;=J58,ABS(I58)&lt;=J58),"PASS","FAIL"))</f>
        <v/>
      </c>
      <c r="L58" s="17" t="inlineStr"/>
      <c r="M58" s="17" t="inlineStr"/>
    </row>
    <row r="59">
      <c r="A59" s="25" t="inlineStr">
        <is>
          <t>K5</t>
        </is>
      </c>
      <c r="B59" s="25" t="inlineStr">
        <is>
          <t>Consolidation: OPERATIONAL CASHFLOW</t>
        </is>
      </c>
      <c r="C59" s="17" t="inlineStr">
        <is>
          <t>per spec (EBITDA − Δ working capital …)</t>
        </is>
      </c>
      <c r="D59" s="17" t="inlineStr"/>
      <c r="E59" s="26" t="n"/>
      <c r="F59" s="26" t="n"/>
      <c r="G59" s="26" t="n"/>
      <c r="H59" s="27">
        <f>IF(AND(ISNUMBER(F59),ISNUMBER(E59)),F59-E59,"")</f>
        <v/>
      </c>
      <c r="I59" s="27">
        <f>IF(AND(ISNUMBER(G59),ISNUMBER(E59)),G59-E59,"")</f>
        <v/>
      </c>
      <c r="J59" s="21" t="n">
        <v>0.01</v>
      </c>
      <c r="K59" s="21">
        <f>IF(OR(E59="",F59="",G59=""),"TODO",IF(AND(ABS(H59)&lt;=J59,ABS(I59)&lt;=J59),"PASS","FAIL"))</f>
        <v/>
      </c>
      <c r="L59" s="17" t="inlineStr"/>
      <c r="M59" s="17" t="inlineStr"/>
    </row>
    <row r="60">
      <c r="A60" s="25" t="inlineStr">
        <is>
          <t>K5</t>
        </is>
      </c>
      <c r="B60" s="25" t="inlineStr">
        <is>
          <t>Consolidation: ROCE</t>
        </is>
      </c>
      <c r="C60" s="17" t="inlineStr">
        <is>
          <t>EBIT ÷ capital employed</t>
        </is>
      </c>
      <c r="D60" s="17" t="inlineStr"/>
      <c r="E60" s="26" t="n"/>
      <c r="F60" s="26" t="n"/>
      <c r="G60" s="26" t="n"/>
      <c r="H60" s="27">
        <f>IF(AND(ISNUMBER(F60),ISNUMBER(E60)),F60-E60,"")</f>
        <v/>
      </c>
      <c r="I60" s="27">
        <f>IF(AND(ISNUMBER(G60),ISNUMBER(E60)),G60-E60,"")</f>
        <v/>
      </c>
      <c r="J60" s="21" t="n">
        <v>1e-06</v>
      </c>
      <c r="K60" s="21">
        <f>IF(OR(E60="",F60="",G60=""),"TODO",IF(AND(ABS(H60)&lt;=J60,ABS(I60)&lt;=J60),"PASS","FAIL"))</f>
        <v/>
      </c>
      <c r="L60" s="17" t="inlineStr"/>
      <c r="M60" s="17" t="inlineStr"/>
    </row>
    <row r="61">
      <c r="A61" s="25" t="inlineStr">
        <is>
          <t>K5</t>
        </is>
      </c>
      <c r="B61" s="25" t="inlineStr">
        <is>
          <t>Remaining consolidation lines (4)</t>
        </is>
      </c>
      <c r="C61" s="17" t="inlineStr">
        <is>
          <t>list from Values_Planning sheet '13. Consolidation' — add rows as needed</t>
        </is>
      </c>
      <c r="D61" s="17" t="inlineStr"/>
      <c r="E61" s="26" t="n"/>
      <c r="F61" s="26" t="n"/>
      <c r="G61" s="26" t="n"/>
      <c r="H61" s="27">
        <f>IF(AND(ISNUMBER(F61),ISNUMBER(E61)),F61-E61,"")</f>
        <v/>
      </c>
      <c r="I61" s="27">
        <f>IF(AND(ISNUMBER(G61),ISNUMBER(E61)),G61-E61,"")</f>
        <v/>
      </c>
      <c r="J61" s="21" t="n">
        <v>0.01</v>
      </c>
      <c r="K61" s="21">
        <f>IF(OR(E61="",F61="",G61=""),"TODO",IF(AND(ABS(H61)&lt;=J61,ABS(I61)&lt;=J61),"PASS","FAIL"))</f>
        <v/>
      </c>
      <c r="L61" s="17" t="inlineStr"/>
      <c r="M61" s="17" t="inlineStr"/>
    </row>
  </sheetData>
  <autoFilter ref="A4:M4"/>
  <mergeCells count="7">
    <mergeCell ref="A44:M44"/>
    <mergeCell ref="A1:M1"/>
    <mergeCell ref="A5:M5"/>
    <mergeCell ref="A35:M35"/>
    <mergeCell ref="A26:M26"/>
    <mergeCell ref="A2:M2"/>
    <mergeCell ref="A16:M16"/>
  </mergeCells>
  <conditionalFormatting sqref="K5:K63">
    <cfRule type="cellIs" priority="1" operator="equal" dxfId="1">
      <formula>"PASS"</formula>
    </cfRule>
    <cfRule type="cellIs" priority="2" operator="equal" dxfId="0">
      <formula>"FAIL"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60" customWidth="1" min="2" max="2"/>
    <col width="18" customWidth="1" min="3" max="3"/>
    <col width="10" customWidth="1" min="4" max="4"/>
    <col width="18" customWidth="1" min="5" max="5"/>
    <col width="18" customWidth="1" min="6" max="6"/>
    <col width="14" customWidth="1" min="7" max="7"/>
    <col width="10" customWidth="1" min="8" max="8"/>
    <col width="10" customWidth="1" min="9" max="9"/>
    <col width="34" customWidth="1" min="10" max="10"/>
  </cols>
  <sheetData>
    <row r="1" ht="26" customHeight="1">
      <c r="A1" s="16" t="inlineStr">
        <is>
          <t>R4 — Invariants (GT-D): identities that must always hold, also on real monthly extracts</t>
        </is>
      </c>
    </row>
    <row r="2">
      <c r="A2" s="2" t="inlineStr">
        <is>
          <t>Sample ≥ 10 materials and ALL machines per invariant. Fill LHS/RHS from the app export (a worksheet with your own formulas is fine, as long as the formulas do not come from the app).</t>
        </is>
      </c>
    </row>
    <row r="4" ht="30" customHeight="1">
      <c r="A4" s="7" t="inlineStr">
        <is>
          <t>Invariant</t>
        </is>
      </c>
      <c r="B4" s="7" t="inlineStr">
        <is>
          <t>Identity</t>
        </is>
      </c>
      <c r="C4" s="7" t="inlineStr">
        <is>
          <t>Material / machine</t>
        </is>
      </c>
      <c r="D4" s="7" t="inlineStr">
        <is>
          <t>Period</t>
        </is>
      </c>
      <c r="E4" s="7" t="inlineStr">
        <is>
          <t>Left-hand side (from export)</t>
        </is>
      </c>
      <c r="F4" s="7" t="inlineStr">
        <is>
          <t>Right-hand side (computed)</t>
        </is>
      </c>
      <c r="G4" s="7" t="inlineStr">
        <is>
          <t>Δ</t>
        </is>
      </c>
      <c r="H4" s="7" t="inlineStr">
        <is>
          <t>Tolerance</t>
        </is>
      </c>
      <c r="I4" s="7" t="inlineStr">
        <is>
          <t>Match?</t>
        </is>
      </c>
      <c r="J4" s="7" t="inlineStr">
        <is>
          <t>Notes</t>
        </is>
      </c>
    </row>
    <row r="5">
      <c r="A5" s="25" t="inlineStr">
        <is>
          <t>I1 Demand build-up</t>
        </is>
      </c>
      <c r="B5" s="25" t="inlineStr">
        <is>
          <t>L03 Total demand = L01 Demand forecast + Σ L02 Dependent demand</t>
        </is>
      </c>
      <c r="C5" s="17" t="inlineStr"/>
      <c r="D5" s="17" t="inlineStr"/>
      <c r="E5" s="26" t="n"/>
      <c r="F5" s="26" t="n"/>
      <c r="G5" s="27">
        <f>IF(AND(ISNUMBER(E5),ISNUMBER(F5)),E5-F5,"")</f>
        <v/>
      </c>
      <c r="H5" s="25" t="n">
        <v>1e-06</v>
      </c>
      <c r="I5" s="21">
        <f>IF(OR(E5="",F5=""),"TODO",IF(ABS(G5)&lt;=H5,"PASS","FAIL"))</f>
        <v/>
      </c>
      <c r="J5" s="17" t="inlineStr"/>
    </row>
    <row r="6">
      <c r="A6" s="25" t="inlineStr"/>
      <c r="B6" s="25" t="inlineStr"/>
      <c r="C6" s="17" t="inlineStr"/>
      <c r="D6" s="17" t="inlineStr"/>
      <c r="E6" s="26" t="n"/>
      <c r="F6" s="26" t="n"/>
      <c r="G6" s="27">
        <f>IF(AND(ISNUMBER(E6),ISNUMBER(F6)),E6-F6,"")</f>
        <v/>
      </c>
      <c r="H6" s="25" t="n">
        <v>1e-06</v>
      </c>
      <c r="I6" s="21">
        <f>IF(OR(E6="",F6=""),"TODO",IF(ABS(G6)&lt;=H6,"PASS","FAIL"))</f>
        <v/>
      </c>
      <c r="J6" s="17" t="inlineStr"/>
    </row>
    <row r="7">
      <c r="A7" s="25" t="inlineStr"/>
      <c r="B7" s="25" t="inlineStr"/>
      <c r="C7" s="17" t="inlineStr"/>
      <c r="D7" s="17" t="inlineStr"/>
      <c r="E7" s="26" t="n"/>
      <c r="F7" s="26" t="n"/>
      <c r="G7" s="27">
        <f>IF(AND(ISNUMBER(E7),ISNUMBER(F7)),E7-F7,"")</f>
        <v/>
      </c>
      <c r="H7" s="25" t="n">
        <v>1e-06</v>
      </c>
      <c r="I7" s="21">
        <f>IF(OR(E7="",F7=""),"TODO",IF(ABS(G7)&lt;=H7,"PASS","FAIL"))</f>
        <v/>
      </c>
      <c r="J7" s="17" t="inlineStr"/>
    </row>
    <row r="8">
      <c r="A8" s="25" t="inlineStr">
        <is>
          <t>I2 Parent–child mirror</t>
        </is>
      </c>
      <c r="B8" s="25" t="inlineStr">
        <is>
          <t>L02 (child, aux = parent) = L08 (parent, aux = child) — cell by cell</t>
        </is>
      </c>
      <c r="C8" s="17" t="inlineStr"/>
      <c r="D8" s="17" t="inlineStr"/>
      <c r="E8" s="26" t="n"/>
      <c r="F8" s="26" t="n"/>
      <c r="G8" s="27">
        <f>IF(AND(ISNUMBER(E8),ISNUMBER(F8)),E8-F8,"")</f>
        <v/>
      </c>
      <c r="H8" s="25" t="n">
        <v>1e-06</v>
      </c>
      <c r="I8" s="21">
        <f>IF(OR(E8="",F8=""),"TODO",IF(ABS(G8)&lt;=H8,"PASS","FAIL"))</f>
        <v/>
      </c>
      <c r="J8" s="17" t="inlineStr"/>
    </row>
    <row r="9">
      <c r="A9" s="25" t="inlineStr"/>
      <c r="B9" s="25" t="inlineStr"/>
      <c r="C9" s="17" t="inlineStr"/>
      <c r="D9" s="17" t="inlineStr"/>
      <c r="E9" s="26" t="n"/>
      <c r="F9" s="26" t="n"/>
      <c r="G9" s="27">
        <f>IF(AND(ISNUMBER(E9),ISNUMBER(F9)),E9-F9,"")</f>
        <v/>
      </c>
      <c r="H9" s="25" t="n">
        <v>1e-06</v>
      </c>
      <c r="I9" s="21">
        <f>IF(OR(E9="",F9=""),"TODO",IF(ABS(G9)&lt;=H9,"PASS","FAIL"))</f>
        <v/>
      </c>
      <c r="J9" s="17" t="inlineStr"/>
    </row>
    <row r="10">
      <c r="A10" s="25" t="inlineStr"/>
      <c r="B10" s="25" t="inlineStr"/>
      <c r="C10" s="17" t="inlineStr"/>
      <c r="D10" s="17" t="inlineStr"/>
      <c r="E10" s="26" t="n"/>
      <c r="F10" s="26" t="n"/>
      <c r="G10" s="27">
        <f>IF(AND(ISNUMBER(E10),ISNUMBER(F10)),E10-F10,"")</f>
        <v/>
      </c>
      <c r="H10" s="25" t="n">
        <v>1e-06</v>
      </c>
      <c r="I10" s="21">
        <f>IF(OR(E10="",F10=""),"TODO",IF(ABS(G10)&lt;=H10,"PASS","FAIL"))</f>
        <v/>
      </c>
      <c r="J10" s="17" t="inlineStr"/>
    </row>
    <row r="11">
      <c r="A11" s="25" t="inlineStr">
        <is>
          <t>I3 Stock balance</t>
        </is>
      </c>
      <c r="B11" s="25" t="inlineStr">
        <is>
          <t>L04[t] = L04[t−1] + L06 production[t] + L06 purchase receipt[t] − L03[t]; L04[0] = starting stock</t>
        </is>
      </c>
      <c r="C11" s="17" t="inlineStr"/>
      <c r="D11" s="17" t="inlineStr"/>
      <c r="E11" s="26" t="n"/>
      <c r="F11" s="26" t="n"/>
      <c r="G11" s="27">
        <f>IF(AND(ISNUMBER(E11),ISNUMBER(F11)),E11-F11,"")</f>
        <v/>
      </c>
      <c r="H11" s="25" t="n">
        <v>1e-06</v>
      </c>
      <c r="I11" s="21">
        <f>IF(OR(E11="",F11=""),"TODO",IF(ABS(G11)&lt;=H11,"PASS","FAIL"))</f>
        <v/>
      </c>
      <c r="J11" s="17" t="inlineStr"/>
    </row>
    <row r="12">
      <c r="A12" s="25" t="inlineStr"/>
      <c r="B12" s="25" t="inlineStr"/>
      <c r="C12" s="17" t="inlineStr"/>
      <c r="D12" s="17" t="inlineStr"/>
      <c r="E12" s="26" t="n"/>
      <c r="F12" s="26" t="n"/>
      <c r="G12" s="27">
        <f>IF(AND(ISNUMBER(E12),ISNUMBER(F12)),E12-F12,"")</f>
        <v/>
      </c>
      <c r="H12" s="25" t="n">
        <v>1e-06</v>
      </c>
      <c r="I12" s="21">
        <f>IF(OR(E12="",F12=""),"TODO",IF(ABS(G12)&lt;=H12,"PASS","FAIL"))</f>
        <v/>
      </c>
      <c r="J12" s="17" t="inlineStr"/>
    </row>
    <row r="13">
      <c r="A13" s="25" t="inlineStr"/>
      <c r="B13" s="25" t="inlineStr"/>
      <c r="C13" s="17" t="inlineStr"/>
      <c r="D13" s="17" t="inlineStr"/>
      <c r="E13" s="26" t="n"/>
      <c r="F13" s="26" t="n"/>
      <c r="G13" s="27">
        <f>IF(AND(ISNUMBER(E13),ISNUMBER(F13)),E13-F13,"")</f>
        <v/>
      </c>
      <c r="H13" s="25" t="n">
        <v>1e-06</v>
      </c>
      <c r="I13" s="21">
        <f>IF(OR(E13="",F13=""),"TODO",IF(ABS(G13)&lt;=H13,"PASS","FAIL"))</f>
        <v/>
      </c>
      <c r="J13" s="17" t="inlineStr"/>
    </row>
    <row r="14">
      <c r="A14" s="25" t="inlineStr">
        <is>
          <t>I4 Target stock</t>
        </is>
      </c>
      <c r="B14" s="25" t="inlineStr">
        <is>
          <t>where demand allows: L04[t] ≥ L05[t]; an order arises exactly when the balance without order would drop below L05</t>
        </is>
      </c>
      <c r="C14" s="17" t="inlineStr"/>
      <c r="D14" s="17" t="inlineStr"/>
      <c r="E14" s="26" t="n"/>
      <c r="F14" s="26" t="n"/>
      <c r="G14" s="27">
        <f>IF(AND(ISNUMBER(E14),ISNUMBER(F14)),E14-F14,"")</f>
        <v/>
      </c>
      <c r="H14" s="25" t="n">
        <v>1e-06</v>
      </c>
      <c r="I14" s="21">
        <f>IF(OR(E14="",F14=""),"TODO",IF(ABS(G14)&lt;=H14,"PASS","FAIL"))</f>
        <v/>
      </c>
      <c r="J14" s="17" t="inlineStr"/>
    </row>
    <row r="15">
      <c r="A15" s="25" t="inlineStr"/>
      <c r="B15" s="25" t="inlineStr"/>
      <c r="C15" s="17" t="inlineStr"/>
      <c r="D15" s="17" t="inlineStr"/>
      <c r="E15" s="26" t="n"/>
      <c r="F15" s="26" t="n"/>
      <c r="G15" s="27">
        <f>IF(AND(ISNUMBER(E15),ISNUMBER(F15)),E15-F15,"")</f>
        <v/>
      </c>
      <c r="H15" s="25" t="n">
        <v>1e-06</v>
      </c>
      <c r="I15" s="21">
        <f>IF(OR(E15="",F15=""),"TODO",IF(ABS(G15)&lt;=H15,"PASS","FAIL"))</f>
        <v/>
      </c>
      <c r="J15" s="17" t="inlineStr"/>
    </row>
    <row r="16">
      <c r="A16" s="25" t="inlineStr"/>
      <c r="B16" s="25" t="inlineStr"/>
      <c r="C16" s="17" t="inlineStr"/>
      <c r="D16" s="17" t="inlineStr"/>
      <c r="E16" s="26" t="n"/>
      <c r="F16" s="26" t="n"/>
      <c r="G16" s="27">
        <f>IF(AND(ISNUMBER(E16),ISNUMBER(F16)),E16-F16,"")</f>
        <v/>
      </c>
      <c r="H16" s="25" t="n">
        <v>1e-06</v>
      </c>
      <c r="I16" s="21">
        <f>IF(OR(E16="",F16=""),"TODO",IF(ABS(G16)&lt;=H16,"PASS","FAIL"))</f>
        <v/>
      </c>
      <c r="J16" s="17" t="inlineStr"/>
    </row>
    <row r="17">
      <c r="A17" s="25" t="inlineStr">
        <is>
          <t>I5 MOQ / lot size</t>
        </is>
      </c>
      <c r="B17" s="25" t="inlineStr">
        <is>
          <t>every purchase order ≥ MOQ; every production order ≥ lot size (when set)</t>
        </is>
      </c>
      <c r="C17" s="17" t="inlineStr"/>
      <c r="D17" s="17" t="inlineStr"/>
      <c r="E17" s="26" t="n"/>
      <c r="F17" s="26" t="n"/>
      <c r="G17" s="27">
        <f>IF(AND(ISNUMBER(E17),ISNUMBER(F17)),E17-F17,"")</f>
        <v/>
      </c>
      <c r="H17" s="25" t="n">
        <v>1e-06</v>
      </c>
      <c r="I17" s="21">
        <f>IF(OR(E17="",F17=""),"TODO",IF(ABS(G17)&lt;=H17,"PASS","FAIL"))</f>
        <v/>
      </c>
      <c r="J17" s="17" t="inlineStr"/>
    </row>
    <row r="18">
      <c r="A18" s="25" t="inlineStr"/>
      <c r="B18" s="25" t="inlineStr"/>
      <c r="C18" s="17" t="inlineStr"/>
      <c r="D18" s="17" t="inlineStr"/>
      <c r="E18" s="26" t="n"/>
      <c r="F18" s="26" t="n"/>
      <c r="G18" s="27">
        <f>IF(AND(ISNUMBER(E18),ISNUMBER(F18)),E18-F18,"")</f>
        <v/>
      </c>
      <c r="H18" s="25" t="n">
        <v>1e-06</v>
      </c>
      <c r="I18" s="21">
        <f>IF(OR(E18="",F18=""),"TODO",IF(ABS(G18)&lt;=H18,"PASS","FAIL"))</f>
        <v/>
      </c>
      <c r="J18" s="17" t="inlineStr"/>
    </row>
    <row r="19">
      <c r="A19" s="25" t="inlineStr"/>
      <c r="B19" s="25" t="inlineStr"/>
      <c r="C19" s="17" t="inlineStr"/>
      <c r="D19" s="17" t="inlineStr"/>
      <c r="E19" s="26" t="n"/>
      <c r="F19" s="26" t="n"/>
      <c r="G19" s="27">
        <f>IF(AND(ISNUMBER(E19),ISNUMBER(F19)),E19-F19,"")</f>
        <v/>
      </c>
      <c r="H19" s="25" t="n">
        <v>1e-06</v>
      </c>
      <c r="I19" s="21">
        <f>IF(OR(E19="",F19=""),"TODO",IF(ABS(G19)&lt;=H19,"PASS","FAIL"))</f>
        <v/>
      </c>
      <c r="J19" s="17" t="inlineStr"/>
    </row>
    <row r="20">
      <c r="A20" s="25" t="inlineStr">
        <is>
          <t>I6 Utilization rate</t>
        </is>
      </c>
      <c r="B20" s="25" t="inlineStr">
        <is>
          <t>L10 = L07 capacity utilization ÷ L09 available capacity (fraction)</t>
        </is>
      </c>
      <c r="C20" s="17" t="inlineStr"/>
      <c r="D20" s="17" t="inlineStr"/>
      <c r="E20" s="26" t="n"/>
      <c r="F20" s="26" t="n"/>
      <c r="G20" s="27">
        <f>IF(AND(ISNUMBER(E20),ISNUMBER(F20)),E20-F20,"")</f>
        <v/>
      </c>
      <c r="H20" s="25" t="n">
        <v>1e-06</v>
      </c>
      <c r="I20" s="21">
        <f>IF(OR(E20="",F20=""),"TODO",IF(ABS(G20)&lt;=H20,"PASS","FAIL"))</f>
        <v/>
      </c>
      <c r="J20" s="17" t="inlineStr"/>
    </row>
    <row r="21">
      <c r="A21" s="25" t="inlineStr"/>
      <c r="B21" s="25" t="inlineStr"/>
      <c r="C21" s="17" t="inlineStr"/>
      <c r="D21" s="17" t="inlineStr"/>
      <c r="E21" s="26" t="n"/>
      <c r="F21" s="26" t="n"/>
      <c r="G21" s="27">
        <f>IF(AND(ISNUMBER(E21),ISNUMBER(F21)),E21-F21,"")</f>
        <v/>
      </c>
      <c r="H21" s="25" t="n">
        <v>1e-06</v>
      </c>
      <c r="I21" s="21">
        <f>IF(OR(E21="",F21=""),"TODO",IF(ABS(G21)&lt;=H21,"PASS","FAIL"))</f>
        <v/>
      </c>
      <c r="J21" s="17" t="inlineStr"/>
    </row>
    <row r="22">
      <c r="A22" s="25" t="inlineStr"/>
      <c r="B22" s="25" t="inlineStr"/>
      <c r="C22" s="17" t="inlineStr"/>
      <c r="D22" s="17" t="inlineStr"/>
      <c r="E22" s="26" t="n"/>
      <c r="F22" s="26" t="n"/>
      <c r="G22" s="27">
        <f>IF(AND(ISNUMBER(E22),ISNUMBER(F22)),E22-F22,"")</f>
        <v/>
      </c>
      <c r="H22" s="25" t="n">
        <v>1e-06</v>
      </c>
      <c r="I22" s="21">
        <f>IF(OR(E22="",F22=""),"TODO",IF(ABS(G22)&lt;=H22,"PASS","FAIL"))</f>
        <v/>
      </c>
      <c r="J22" s="17" t="inlineStr"/>
    </row>
    <row r="23">
      <c r="A23" s="25" t="inlineStr">
        <is>
          <t>I7 Group rule</t>
        </is>
      </c>
      <c r="B23" s="25" t="inlineStr">
        <is>
          <t>mill group: L07 group = MAX(L07 machines); other groups: Σ — record per group which rule applies</t>
        </is>
      </c>
      <c r="C23" s="17" t="inlineStr"/>
      <c r="D23" s="17" t="inlineStr"/>
      <c r="E23" s="26" t="n"/>
      <c r="F23" s="26" t="n"/>
      <c r="G23" s="27">
        <f>IF(AND(ISNUMBER(E23),ISNUMBER(F23)),E23-F23,"")</f>
        <v/>
      </c>
      <c r="H23" s="25" t="n">
        <v>1e-06</v>
      </c>
      <c r="I23" s="21">
        <f>IF(OR(E23="",F23=""),"TODO",IF(ABS(G23)&lt;=H23,"PASS","FAIL"))</f>
        <v/>
      </c>
      <c r="J23" s="17" t="inlineStr"/>
    </row>
    <row r="24">
      <c r="A24" s="25" t="inlineStr"/>
      <c r="B24" s="25" t="inlineStr"/>
      <c r="C24" s="17" t="inlineStr"/>
      <c r="D24" s="17" t="inlineStr"/>
      <c r="E24" s="26" t="n"/>
      <c r="F24" s="26" t="n"/>
      <c r="G24" s="27">
        <f>IF(AND(ISNUMBER(E24),ISNUMBER(F24)),E24-F24,"")</f>
        <v/>
      </c>
      <c r="H24" s="25" t="n">
        <v>1e-06</v>
      </c>
      <c r="I24" s="21">
        <f>IF(OR(E24="",F24=""),"TODO",IF(ABS(G24)&lt;=H24,"PASS","FAIL"))</f>
        <v/>
      </c>
      <c r="J24" s="17" t="inlineStr"/>
    </row>
    <row r="25">
      <c r="A25" s="25" t="inlineStr"/>
      <c r="B25" s="25" t="inlineStr"/>
      <c r="C25" s="17" t="inlineStr"/>
      <c r="D25" s="17" t="inlineStr"/>
      <c r="E25" s="26" t="n"/>
      <c r="F25" s="26" t="n"/>
      <c r="G25" s="27">
        <f>IF(AND(ISNUMBER(E25),ISNUMBER(F25)),E25-F25,"")</f>
        <v/>
      </c>
      <c r="H25" s="25" t="n">
        <v>1e-06</v>
      </c>
      <c r="I25" s="21">
        <f>IF(OR(E25="",F25=""),"TODO",IF(ABS(G25)&lt;=H25,"PASS","FAIL"))</f>
        <v/>
      </c>
      <c r="J25" s="17" t="inlineStr"/>
    </row>
    <row r="26">
      <c r="A26" s="25" t="inlineStr">
        <is>
          <t>I8 Revenue</t>
        </is>
      </c>
      <c r="B26" s="25" t="inlineStr">
        <is>
          <t>Values L01 = sales price × Planning L01 per material/period</t>
        </is>
      </c>
      <c r="C26" s="17" t="inlineStr"/>
      <c r="D26" s="17" t="inlineStr"/>
      <c r="E26" s="26" t="n"/>
      <c r="F26" s="26" t="n"/>
      <c r="G26" s="27">
        <f>IF(AND(ISNUMBER(E26),ISNUMBER(F26)),E26-F26,"")</f>
        <v/>
      </c>
      <c r="H26" s="25" t="n">
        <v>0.01</v>
      </c>
      <c r="I26" s="21">
        <f>IF(OR(E26="",F26=""),"TODO",IF(ABS(G26)&lt;=H26,"PASS","FAIL"))</f>
        <v/>
      </c>
      <c r="J26" s="17" t="inlineStr"/>
    </row>
    <row r="27">
      <c r="A27" s="25" t="inlineStr"/>
      <c r="B27" s="25" t="inlineStr"/>
      <c r="C27" s="17" t="inlineStr"/>
      <c r="D27" s="17" t="inlineStr"/>
      <c r="E27" s="26" t="n"/>
      <c r="F27" s="26" t="n"/>
      <c r="G27" s="27">
        <f>IF(AND(ISNUMBER(E27),ISNUMBER(F27)),E27-F27,"")</f>
        <v/>
      </c>
      <c r="H27" s="25" t="n">
        <v>0.01</v>
      </c>
      <c r="I27" s="21">
        <f>IF(OR(E27="",F27=""),"TODO",IF(ABS(G27)&lt;=H27,"PASS","FAIL"))</f>
        <v/>
      </c>
      <c r="J27" s="17" t="inlineStr"/>
    </row>
    <row r="28">
      <c r="A28" s="25" t="inlineStr"/>
      <c r="B28" s="25" t="inlineStr"/>
      <c r="C28" s="17" t="inlineStr"/>
      <c r="D28" s="17" t="inlineStr"/>
      <c r="E28" s="26" t="n"/>
      <c r="F28" s="26" t="n"/>
      <c r="G28" s="27">
        <f>IF(AND(ISNUMBER(E28),ISNUMBER(F28)),E28-F28,"")</f>
        <v/>
      </c>
      <c r="H28" s="25" t="n">
        <v>0.01</v>
      </c>
      <c r="I28" s="21">
        <f>IF(OR(E28="",F28=""),"TODO",IF(ABS(G28)&lt;=H28,"PASS","FAIL"))</f>
        <v/>
      </c>
      <c r="J28" s="17" t="inlineStr"/>
    </row>
    <row r="29">
      <c r="A29" s="25" t="inlineStr">
        <is>
          <t>I9 Consolidation chain</t>
        </is>
      </c>
      <c r="B29" s="25" t="inlineStr">
        <is>
          <t>GROSS MARGIN = TURNOVER − COST OF GOODS; EBITDA = GROSS MARGIN − fixed; EBIT = EBITDA − depreciation (last two differences constant per month)</t>
        </is>
      </c>
      <c r="C29" s="17" t="inlineStr"/>
      <c r="D29" s="17" t="inlineStr"/>
      <c r="E29" s="26" t="n"/>
      <c r="F29" s="26" t="n"/>
      <c r="G29" s="27">
        <f>IF(AND(ISNUMBER(E29),ISNUMBER(F29)),E29-F29,"")</f>
        <v/>
      </c>
      <c r="H29" s="25" t="n">
        <v>0.01</v>
      </c>
      <c r="I29" s="21">
        <f>IF(OR(E29="",F29=""),"TODO",IF(ABS(G29)&lt;=H29,"PASS","FAIL"))</f>
        <v/>
      </c>
      <c r="J29" s="17" t="inlineStr"/>
    </row>
    <row r="30">
      <c r="A30" s="25" t="inlineStr"/>
      <c r="B30" s="25" t="inlineStr"/>
      <c r="C30" s="17" t="inlineStr"/>
      <c r="D30" s="17" t="inlineStr"/>
      <c r="E30" s="26" t="n"/>
      <c r="F30" s="26" t="n"/>
      <c r="G30" s="27">
        <f>IF(AND(ISNUMBER(E30),ISNUMBER(F30)),E30-F30,"")</f>
        <v/>
      </c>
      <c r="H30" s="25" t="n">
        <v>0.01</v>
      </c>
      <c r="I30" s="21">
        <f>IF(OR(E30="",F30=""),"TODO",IF(ABS(G30)&lt;=H30,"PASS","FAIL"))</f>
        <v/>
      </c>
      <c r="J30" s="17" t="inlineStr"/>
    </row>
    <row r="31">
      <c r="A31" s="25" t="inlineStr"/>
      <c r="B31" s="25" t="inlineStr"/>
      <c r="C31" s="17" t="inlineStr"/>
      <c r="D31" s="17" t="inlineStr"/>
      <c r="E31" s="26" t="n"/>
      <c r="F31" s="26" t="n"/>
      <c r="G31" s="27">
        <f>IF(AND(ISNUMBER(E31),ISNUMBER(F31)),E31-F31,"")</f>
        <v/>
      </c>
      <c r="H31" s="25" t="n">
        <v>0.01</v>
      </c>
      <c r="I31" s="21">
        <f>IF(OR(E31="",F31=""),"TODO",IF(ABS(G31)&lt;=H31,"PASS","FAIL"))</f>
        <v/>
      </c>
      <c r="J31" s="17" t="inlineStr"/>
    </row>
    <row r="32">
      <c r="A32" s="25" t="inlineStr">
        <is>
          <t>I10 Valid numbers</t>
        </is>
      </c>
      <c r="B32" s="25" t="inlineStr">
        <is>
          <t>no NaN / ∞ / blank where a number belongs; no negative L06 / L07</t>
        </is>
      </c>
      <c r="C32" s="17" t="inlineStr"/>
      <c r="D32" s="17" t="inlineStr"/>
      <c r="E32" s="26" t="n"/>
      <c r="F32" s="26" t="n"/>
      <c r="G32" s="27">
        <f>IF(AND(ISNUMBER(E32),ISNUMBER(F32)),E32-F32,"")</f>
        <v/>
      </c>
      <c r="H32" s="25" t="n">
        <v>0</v>
      </c>
      <c r="I32" s="21">
        <f>IF(OR(E32="",F32=""),"TODO",IF(ABS(G32)&lt;=H32,"PASS","FAIL"))</f>
        <v/>
      </c>
      <c r="J32" s="17" t="inlineStr"/>
    </row>
    <row r="33">
      <c r="A33" s="25" t="inlineStr"/>
      <c r="B33" s="25" t="inlineStr"/>
      <c r="C33" s="17" t="inlineStr"/>
      <c r="D33" s="17" t="inlineStr"/>
      <c r="E33" s="26" t="n"/>
      <c r="F33" s="26" t="n"/>
      <c r="G33" s="27">
        <f>IF(AND(ISNUMBER(E33),ISNUMBER(F33)),E33-F33,"")</f>
        <v/>
      </c>
      <c r="H33" s="25" t="n">
        <v>0</v>
      </c>
      <c r="I33" s="21">
        <f>IF(OR(E33="",F33=""),"TODO",IF(ABS(G33)&lt;=H33,"PASS","FAIL"))</f>
        <v/>
      </c>
      <c r="J33" s="17" t="inlineStr"/>
    </row>
    <row r="34">
      <c r="A34" s="25" t="inlineStr"/>
      <c r="B34" s="25" t="inlineStr"/>
      <c r="C34" s="17" t="inlineStr"/>
      <c r="D34" s="17" t="inlineStr"/>
      <c r="E34" s="26" t="n"/>
      <c r="F34" s="26" t="n"/>
      <c r="G34" s="27">
        <f>IF(AND(ISNUMBER(E34),ISNUMBER(F34)),E34-F34,"")</f>
        <v/>
      </c>
      <c r="H34" s="25" t="n">
        <v>0</v>
      </c>
      <c r="I34" s="21">
        <f>IF(OR(E34="",F34=""),"TODO",IF(ABS(G34)&lt;=H34,"PASS","FAIL"))</f>
        <v/>
      </c>
      <c r="J34" s="17" t="inlineStr"/>
    </row>
    <row r="35">
      <c r="A35" s="25" t="inlineStr">
        <is>
          <t>I11 Line completeness</t>
        </is>
      </c>
      <c r="B35" s="25" t="inlineStr">
        <is>
          <t>all expected line types present for every active material (EXPECTED_LINE_TYPES)</t>
        </is>
      </c>
      <c r="C35" s="17" t="inlineStr"/>
      <c r="D35" s="17" t="inlineStr"/>
      <c r="E35" s="26" t="n"/>
      <c r="F35" s="26" t="n"/>
      <c r="G35" s="27">
        <f>IF(AND(ISNUMBER(E35),ISNUMBER(F35)),E35-F35,"")</f>
        <v/>
      </c>
      <c r="H35" s="25" t="n">
        <v>0</v>
      </c>
      <c r="I35" s="21">
        <f>IF(OR(E35="",F35=""),"TODO",IF(ABS(G35)&lt;=H35,"PASS","FAIL"))</f>
        <v/>
      </c>
      <c r="J35" s="17" t="inlineStr"/>
    </row>
    <row r="36">
      <c r="A36" s="25" t="inlineStr"/>
      <c r="B36" s="25" t="inlineStr"/>
      <c r="C36" s="17" t="inlineStr"/>
      <c r="D36" s="17" t="inlineStr"/>
      <c r="E36" s="26" t="n"/>
      <c r="F36" s="26" t="n"/>
      <c r="G36" s="27">
        <f>IF(AND(ISNUMBER(E36),ISNUMBER(F36)),E36-F36,"")</f>
        <v/>
      </c>
      <c r="H36" s="25" t="n">
        <v>0</v>
      </c>
      <c r="I36" s="21">
        <f>IF(OR(E36="",F36=""),"TODO",IF(ABS(G36)&lt;=H36,"PASS","FAIL"))</f>
        <v/>
      </c>
      <c r="J36" s="17" t="inlineStr"/>
    </row>
    <row r="37">
      <c r="A37" s="25" t="inlineStr"/>
      <c r="B37" s="25" t="inlineStr"/>
      <c r="C37" s="17" t="inlineStr"/>
      <c r="D37" s="17" t="inlineStr"/>
      <c r="E37" s="26" t="n"/>
      <c r="F37" s="26" t="n"/>
      <c r="G37" s="27">
        <f>IF(AND(ISNUMBER(E37),ISNUMBER(F37)),E37-F37,"")</f>
        <v/>
      </c>
      <c r="H37" s="25" t="n">
        <v>0</v>
      </c>
      <c r="I37" s="21">
        <f>IF(OR(E37="",F37=""),"TODO",IF(ABS(G37)&lt;=H37,"PASS","FAIL"))</f>
        <v/>
      </c>
      <c r="J37" s="17" t="inlineStr"/>
    </row>
  </sheetData>
  <autoFilter ref="A4:J4"/>
  <mergeCells count="2">
    <mergeCell ref="A1:J1"/>
    <mergeCell ref="A2:J2"/>
  </mergeCells>
  <conditionalFormatting sqref="I5:I38">
    <cfRule type="cellIs" priority="1" operator="equal" dxfId="1">
      <formula>"PASS"</formula>
    </cfRule>
    <cfRule type="cellIs" priority="2" operator="equal" dxfId="0">
      <formula>"FAIL"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1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7" customWidth="1" min="1" max="1"/>
    <col width="9" customWidth="1" min="2" max="2"/>
    <col width="40" customWidth="1" min="3" max="3"/>
    <col width="16" customWidth="1" min="4" max="4"/>
    <col width="18" customWidth="1" min="5" max="5"/>
    <col width="34" customWidth="1" min="6" max="6"/>
    <col width="18" customWidth="1" min="7" max="7"/>
    <col width="14" customWidth="1" min="8" max="8"/>
    <col width="14" customWidth="1" min="9" max="9"/>
    <col width="12" customWidth="1" min="10" max="10"/>
    <col width="9" customWidth="1" min="11" max="11"/>
    <col width="9" customWidth="1" min="12" max="12"/>
    <col width="16" customWidth="1" min="13" max="13"/>
    <col width="16" customWidth="1" min="14" max="14"/>
    <col width="30" customWidth="1" min="15" max="15"/>
  </cols>
  <sheetData>
    <row r="1" ht="26" customHeight="1">
      <c r="A1" s="16" t="inlineStr">
        <is>
          <t>R3 — Mirror edits (GT-C): the same edit in the app and in the client Excel, compare the cascade</t>
        </is>
      </c>
    </row>
    <row r="2">
      <c r="A2" s="2" t="inlineStr">
        <is>
          <t>From docs/parallelle-run-methodiek.md: the twelve 1-to-1 mirrorable edits. Machine edits, valuation parameters, purchase receipts and new products are NOT mirrorable — they are proven via R2 and R4 instead.</t>
        </is>
      </c>
    </row>
    <row r="4" ht="30" customHeight="1">
      <c r="A4" s="7" t="inlineStr">
        <is>
          <t>ID</t>
        </is>
      </c>
      <c r="B4" s="7" t="inlineStr">
        <is>
          <t>Checklist ref</t>
        </is>
      </c>
      <c r="C4" s="7" t="inlineStr">
        <is>
          <t>Edit (same in app AND in a copy of the GT-A workbook)</t>
        </is>
      </c>
      <c r="D4" s="7" t="inlineStr">
        <is>
          <t>Material / machine</t>
        </is>
      </c>
      <c r="E4" s="7" t="inlineStr">
        <is>
          <t>Input: from → to</t>
        </is>
      </c>
      <c r="F4" s="7" t="inlineStr">
        <is>
          <t>Expected propagation</t>
        </is>
      </c>
      <c r="G4" s="7" t="inlineStr">
        <is>
          <t>Cells to compare (line · period)</t>
        </is>
      </c>
      <c r="H4" s="7" t="inlineStr">
        <is>
          <t>App value</t>
        </is>
      </c>
      <c r="I4" s="7" t="inlineStr">
        <is>
          <t>Excel value (after CalculateFull)</t>
        </is>
      </c>
      <c r="J4" s="7" t="inlineStr">
        <is>
          <t>Δ</t>
        </is>
      </c>
      <c r="K4" s="7" t="inlineStr">
        <is>
          <t>Tolerance</t>
        </is>
      </c>
      <c r="L4" s="7" t="inlineStr">
        <is>
          <t>Match?</t>
        </is>
      </c>
      <c r="M4" s="7" t="inlineStr">
        <is>
          <t>Status after Reset (vs original GT-A = Δ0)</t>
        </is>
      </c>
      <c r="N4" s="7" t="inlineStr">
        <is>
          <t>Evidence</t>
        </is>
      </c>
      <c r="O4" s="7" t="inlineStr">
        <is>
          <t>Notes</t>
        </is>
      </c>
    </row>
    <row r="5">
      <c r="A5" s="25" t="inlineStr">
        <is>
          <t>M01</t>
        </is>
      </c>
      <c r="B5" s="25" t="inlineStr">
        <is>
          <t>A5</t>
        </is>
      </c>
      <c r="C5" s="25" t="inlineStr">
        <is>
          <t>Sales price ×2</t>
        </is>
      </c>
      <c r="D5" s="17" t="inlineStr"/>
      <c r="E5" s="17" t="inlineStr">
        <is>
          <t>price p → 2p</t>
        </is>
      </c>
      <c r="F5" s="25" t="inlineStr">
        <is>
          <t>Values L01 (revenue) ×2 for that material; TURNOVER, GROSS MARGIN, EBITDA, EBIT move by the same €; volumes unchanged</t>
        </is>
      </c>
      <c r="G5" s="25" t="inlineStr">
        <is>
          <t>Values L01 · all periods; TURNOVER · P1</t>
        </is>
      </c>
      <c r="H5" s="26" t="n"/>
      <c r="I5" s="26" t="n"/>
      <c r="J5" s="27">
        <f>IF(AND(ISNUMBER(H5),ISNUMBER(I5)),H5-I5,"")</f>
        <v/>
      </c>
      <c r="K5" s="25" t="n">
        <v>0.01</v>
      </c>
      <c r="L5" s="21">
        <f>IF(OR(H5="",I5=""),"TODO",IF(ABS(J5)&lt;=K5,"PASS","FAIL"))</f>
        <v/>
      </c>
      <c r="M5" s="17" t="inlineStr"/>
      <c r="N5" s="17" t="inlineStr"/>
      <c r="O5" s="17" t="inlineStr"/>
    </row>
    <row r="6">
      <c r="A6" s="25" t="inlineStr">
        <is>
          <t>M02</t>
        </is>
      </c>
      <c r="B6" s="25" t="inlineStr">
        <is>
          <t>A12</t>
        </is>
      </c>
      <c r="C6" s="25" t="inlineStr">
        <is>
          <t>Raw material cost ×4</t>
        </is>
      </c>
      <c r="D6" s="17" t="inlineStr"/>
      <c r="E6" s="17" t="inlineStr">
        <is>
          <t>cost c → 4c</t>
        </is>
      </c>
      <c r="F6" s="25" t="inlineStr">
        <is>
          <t>RAW MATERIAL COST line ×4 for that material; COST OF GOODS, margins move; volumes unchanged</t>
        </is>
      </c>
      <c r="G6" s="25" t="inlineStr">
        <is>
          <t>Values raw cost · P1–P3</t>
        </is>
      </c>
      <c r="H6" s="26" t="n"/>
      <c r="I6" s="26" t="n"/>
      <c r="J6" s="27">
        <f>IF(AND(ISNUMBER(H6),ISNUMBER(I6)),H6-I6,"")</f>
        <v/>
      </c>
      <c r="K6" s="25" t="n">
        <v>0.01</v>
      </c>
      <c r="L6" s="21">
        <f>IF(OR(H6="",I6=""),"TODO",IF(ABS(J6)&lt;=K6,"PASS","FAIL"))</f>
        <v/>
      </c>
      <c r="M6" s="17" t="inlineStr"/>
      <c r="N6" s="17" t="inlineStr"/>
      <c r="O6" s="17" t="inlineStr"/>
    </row>
    <row r="7">
      <c r="A7" s="25" t="inlineStr">
        <is>
          <t>M03</t>
        </is>
      </c>
      <c r="B7" s="25" t="inlineStr">
        <is>
          <t>C1</t>
        </is>
      </c>
      <c r="C7" s="25" t="inlineStr">
        <is>
          <t>Forecast edit (L01 ×2 for one period)</t>
        </is>
      </c>
      <c r="D7" s="17" t="inlineStr"/>
      <c r="E7" s="17" t="inlineStr">
        <is>
          <t>L01[P1] v → 2v</t>
        </is>
      </c>
      <c r="F7" s="25" t="inlineStr">
        <is>
          <t>L03, L04, L06 of the material; L02/L08 of its components; L07 of routed machines</t>
        </is>
      </c>
      <c r="G7" s="25" t="inlineStr">
        <is>
          <t>L03/L04/L06 · P1–P3; child L02 · P1</t>
        </is>
      </c>
      <c r="H7" s="26" t="n"/>
      <c r="I7" s="26" t="n"/>
      <c r="J7" s="27">
        <f>IF(AND(ISNUMBER(H7),ISNUMBER(I7)),H7-I7,"")</f>
        <v/>
      </c>
      <c r="K7" s="25" t="n">
        <v>1e-06</v>
      </c>
      <c r="L7" s="21">
        <f>IF(OR(H7="",I7=""),"TODO",IF(ABS(J7)&lt;=K7,"PASS","FAIL"))</f>
        <v/>
      </c>
      <c r="M7" s="17" t="inlineStr"/>
      <c r="N7" s="17" t="inlineStr"/>
      <c r="O7" s="17" t="inlineStr"/>
    </row>
    <row r="8">
      <c r="A8" s="25" t="inlineStr">
        <is>
          <t>M04</t>
        </is>
      </c>
      <c r="B8" s="25" t="inlineStr">
        <is>
          <t>C3</t>
        </is>
      </c>
      <c r="C8" s="25" t="inlineStr">
        <is>
          <t>Cascade to child component (L06 of a parent with BOM)</t>
        </is>
      </c>
      <c r="D8" s="17" t="inlineStr"/>
      <c r="E8" s="17" t="inlineStr">
        <is>
          <t>L06[P2] → +Δ</t>
        </is>
      </c>
      <c r="F8" s="25" t="inlineStr">
        <is>
          <t>child L02 (aux = parent) = parent L08 (aux = child) = Δ × quantity_per; child L03/L04/L06 follow</t>
        </is>
      </c>
      <c r="G8" s="25" t="inlineStr">
        <is>
          <t>child L02/L08 · P2</t>
        </is>
      </c>
      <c r="H8" s="26" t="n"/>
      <c r="I8" s="26" t="n"/>
      <c r="J8" s="27">
        <f>IF(AND(ISNUMBER(H8),ISNUMBER(I8)),H8-I8,"")</f>
        <v/>
      </c>
      <c r="K8" s="25" t="n">
        <v>1e-06</v>
      </c>
      <c r="L8" s="21">
        <f>IF(OR(H8="",I8=""),"TODO",IF(ABS(J8)&lt;=K8,"PASS","FAIL"))</f>
        <v/>
      </c>
      <c r="M8" s="17" t="inlineStr"/>
      <c r="N8" s="17" t="inlineStr"/>
      <c r="O8" s="17" t="inlineStr"/>
    </row>
    <row r="9">
      <c r="A9" s="25" t="inlineStr">
        <is>
          <t>M05</t>
        </is>
      </c>
      <c r="B9" s="25" t="inlineStr">
        <is>
          <t>C4</t>
        </is>
      </c>
      <c r="C9" s="25" t="inlineStr">
        <is>
          <t>Combination L01 (material X) then L06 (material Y)</t>
        </is>
      </c>
      <c r="D9" s="17" t="inlineStr"/>
      <c r="E9" s="17" t="inlineStr">
        <is>
          <t>two edits in sequence</t>
        </is>
      </c>
      <c r="F9" s="25" t="inlineStr">
        <is>
          <t>final state identical in both; order-independent for independent materials</t>
        </is>
      </c>
      <c r="G9" s="25" t="inlineStr">
        <is>
          <t>X L03 · P1; Y L04 · P1–P2</t>
        </is>
      </c>
      <c r="H9" s="26" t="n"/>
      <c r="I9" s="26" t="n"/>
      <c r="J9" s="27">
        <f>IF(AND(ISNUMBER(H9),ISNUMBER(I9)),H9-I9,"")</f>
        <v/>
      </c>
      <c r="K9" s="25" t="n">
        <v>1e-06</v>
      </c>
      <c r="L9" s="21">
        <f>IF(OR(H9="",I9=""),"TODO",IF(ABS(J9)&lt;=K9,"PASS","FAIL"))</f>
        <v/>
      </c>
      <c r="M9" s="17" t="inlineStr"/>
      <c r="N9" s="17" t="inlineStr"/>
      <c r="O9" s="17" t="inlineStr"/>
    </row>
    <row r="10">
      <c r="A10" s="25" t="inlineStr">
        <is>
          <t>M06</t>
        </is>
      </c>
      <c r="B10" s="25" t="inlineStr">
        <is>
          <t>C5</t>
        </is>
      </c>
      <c r="C10" s="25" t="inlineStr">
        <is>
          <t>Bulk edit: 3 months of one line</t>
        </is>
      </c>
      <c r="D10" s="17" t="inlineStr"/>
      <c r="E10" s="17" t="inlineStr">
        <is>
          <t>L01[P1..P3] → v</t>
        </is>
      </c>
      <c r="F10" s="25" t="inlineStr">
        <is>
          <t>cascade once, all three periods</t>
        </is>
      </c>
      <c r="G10" s="25" t="inlineStr">
        <is>
          <t>L03/L06 · P1–P3</t>
        </is>
      </c>
      <c r="H10" s="26" t="n"/>
      <c r="I10" s="26" t="n"/>
      <c r="J10" s="27">
        <f>IF(AND(ISNUMBER(H10),ISNUMBER(I10)),H10-I10,"")</f>
        <v/>
      </c>
      <c r="K10" s="25" t="n">
        <v>1e-06</v>
      </c>
      <c r="L10" s="21">
        <f>IF(OR(H10="",I10=""),"TODO",IF(ABS(J10)&lt;=K10,"PASS","FAIL"))</f>
        <v/>
      </c>
      <c r="M10" s="17" t="inlineStr"/>
      <c r="N10" s="17" t="inlineStr"/>
      <c r="O10" s="17" t="inlineStr"/>
    </row>
    <row r="11">
      <c r="A11" s="25" t="inlineStr">
        <is>
          <t>M07</t>
        </is>
      </c>
      <c r="B11" s="25" t="inlineStr">
        <is>
          <t>C10</t>
        </is>
      </c>
      <c r="C11" s="25" t="inlineStr">
        <is>
          <t>L05 minimum target stock, multi-month</t>
        </is>
      </c>
      <c r="D11" s="17" t="inlineStr"/>
      <c r="E11" s="17" t="inlineStr">
        <is>
          <t>L05[P1..P3] → t</t>
        </is>
      </c>
      <c r="F11" s="25" t="inlineStr">
        <is>
          <t>production/purchase order arises where L04 would drop below t</t>
        </is>
      </c>
      <c r="G11" s="25" t="inlineStr">
        <is>
          <t>L04/L06 · P1–P4</t>
        </is>
      </c>
      <c r="H11" s="26" t="n"/>
      <c r="I11" s="26" t="n"/>
      <c r="J11" s="27">
        <f>IF(AND(ISNUMBER(H11),ISNUMBER(I11)),H11-I11,"")</f>
        <v/>
      </c>
      <c r="K11" s="25" t="n">
        <v>1e-06</v>
      </c>
      <c r="L11" s="21">
        <f>IF(OR(H11="",I11=""),"TODO",IF(ABS(J11)&lt;=K11,"PASS","FAIL"))</f>
        <v/>
      </c>
      <c r="M11" s="17" t="inlineStr"/>
      <c r="N11" s="17" t="inlineStr"/>
      <c r="O11" s="17" t="inlineStr"/>
    </row>
    <row r="12">
      <c r="A12" s="25" t="inlineStr">
        <is>
          <t>M08</t>
        </is>
      </c>
      <c r="B12" s="25" t="inlineStr">
        <is>
          <t>C11</t>
        </is>
      </c>
      <c r="C12" s="25" t="inlineStr">
        <is>
          <t>L01 edited twice on the same cell</t>
        </is>
      </c>
      <c r="D12" s="17" t="inlineStr"/>
      <c r="E12" s="17" t="inlineStr">
        <is>
          <t>v → v1 → v2</t>
        </is>
      </c>
      <c r="F12" s="25" t="inlineStr">
        <is>
          <t>end state = v2 in both; undo returns to v (app) — Excel: re-enter v</t>
        </is>
      </c>
      <c r="G12" s="25" t="inlineStr">
        <is>
          <t>L03 · P1</t>
        </is>
      </c>
      <c r="H12" s="26" t="n"/>
      <c r="I12" s="26" t="n"/>
      <c r="J12" s="27">
        <f>IF(AND(ISNUMBER(H12),ISNUMBER(I12)),H12-I12,"")</f>
        <v/>
      </c>
      <c r="K12" s="25" t="n">
        <v>1e-06</v>
      </c>
      <c r="L12" s="21">
        <f>IF(OR(H12="",I12=""),"TODO",IF(ABS(J12)&lt;=K12,"PASS","FAIL"))</f>
        <v/>
      </c>
      <c r="M12" s="17" t="inlineStr"/>
      <c r="N12" s="17" t="inlineStr"/>
      <c r="O12" s="17" t="inlineStr"/>
    </row>
    <row r="13">
      <c r="A13" s="25" t="inlineStr">
        <is>
          <t>M09</t>
        </is>
      </c>
      <c r="B13" s="25" t="inlineStr">
        <is>
          <t>E8</t>
        </is>
      </c>
      <c r="C13" s="25" t="inlineStr">
        <is>
          <t>L01 edit via top-movers table</t>
        </is>
      </c>
      <c r="D13" s="17" t="inlineStr"/>
      <c r="E13" s="17" t="inlineStr">
        <is>
          <t>L01[P1] → v</t>
        </is>
      </c>
      <c r="F13" s="25" t="inlineStr">
        <is>
          <t>same cascade as M03 (entry point does not matter)</t>
        </is>
      </c>
      <c r="G13" s="25" t="inlineStr">
        <is>
          <t>L03/L06 · P1</t>
        </is>
      </c>
      <c r="H13" s="26" t="n"/>
      <c r="I13" s="26" t="n"/>
      <c r="J13" s="27">
        <f>IF(AND(ISNUMBER(H13),ISNUMBER(I13)),H13-I13,"")</f>
        <v/>
      </c>
      <c r="K13" s="25" t="n">
        <v>1e-06</v>
      </c>
      <c r="L13" s="21">
        <f>IF(OR(H13="",I13=""),"TODO",IF(ABS(J13)&lt;=K13,"PASS","FAIL"))</f>
        <v/>
      </c>
      <c r="M13" s="17" t="inlineStr"/>
      <c r="N13" s="17" t="inlineStr"/>
      <c r="O13" s="17" t="inlineStr"/>
    </row>
    <row r="14">
      <c r="A14" s="25" t="inlineStr">
        <is>
          <t>M10</t>
        </is>
      </c>
      <c r="B14" s="25" t="inlineStr">
        <is>
          <t>E12</t>
        </is>
      </c>
      <c r="C14" s="25" t="inlineStr">
        <is>
          <t>L01 edit, then reopen chart analysis</t>
        </is>
      </c>
      <c r="D14" s="17" t="inlineStr"/>
      <c r="E14" s="17" t="inlineStr">
        <is>
          <t>L01[P1] → v</t>
        </is>
      </c>
      <c r="F14" s="25" t="inlineStr">
        <is>
          <t>analysis panel uses new numbers; Excel cell equal</t>
        </is>
      </c>
      <c r="G14" s="25" t="inlineStr">
        <is>
          <t>L01/L03 · P1</t>
        </is>
      </c>
      <c r="H14" s="26" t="n"/>
      <c r="I14" s="26" t="n"/>
      <c r="J14" s="27">
        <f>IF(AND(ISNUMBER(H14),ISNUMBER(I14)),H14-I14,"")</f>
        <v/>
      </c>
      <c r="K14" s="25" t="n">
        <v>1e-06</v>
      </c>
      <c r="L14" s="21">
        <f>IF(OR(H14="",I14=""),"TODO",IF(ABS(J14)&lt;=K14,"PASS","FAIL"))</f>
        <v/>
      </c>
      <c r="M14" s="17" t="inlineStr"/>
      <c r="N14" s="17" t="inlineStr"/>
      <c r="O14" s="17" t="inlineStr"/>
    </row>
    <row r="15">
      <c r="A15" s="25" t="inlineStr">
        <is>
          <t>M11</t>
        </is>
      </c>
      <c r="B15" s="25" t="inlineStr">
        <is>
          <t>F16</t>
        </is>
      </c>
      <c r="C15" s="25" t="inlineStr">
        <is>
          <t>L01 edit under an active material group</t>
        </is>
      </c>
      <c r="D15" s="17" t="inlineStr"/>
      <c r="E15" s="17" t="inlineStr">
        <is>
          <t>L01[P1] → v</t>
        </is>
      </c>
      <c r="F15" s="25" t="inlineStr">
        <is>
          <t>scoping does not change the numbers; Excel equal</t>
        </is>
      </c>
      <c r="G15" s="25" t="inlineStr">
        <is>
          <t>L03 · P1</t>
        </is>
      </c>
      <c r="H15" s="26" t="n"/>
      <c r="I15" s="26" t="n"/>
      <c r="J15" s="27">
        <f>IF(AND(ISNUMBER(H15),ISNUMBER(I15)),H15-I15,"")</f>
        <v/>
      </c>
      <c r="K15" s="25" t="n">
        <v>1e-06</v>
      </c>
      <c r="L15" s="21">
        <f>IF(OR(H15="",I15=""),"TODO",IF(ABS(J15)&lt;=K15,"PASS","FAIL"))</f>
        <v/>
      </c>
      <c r="M15" s="17" t="inlineStr"/>
      <c r="N15" s="17" t="inlineStr"/>
      <c r="O15" s="17" t="inlineStr"/>
    </row>
    <row r="16">
      <c r="A16" s="25" t="inlineStr">
        <is>
          <t>M12</t>
        </is>
      </c>
      <c r="B16" s="25" t="inlineStr">
        <is>
          <t>H2</t>
        </is>
      </c>
      <c r="C16" s="25" t="inlineStr">
        <is>
          <t>L01 edit → export</t>
        </is>
      </c>
      <c r="D16" s="17" t="inlineStr"/>
      <c r="E16" s="17" t="inlineStr">
        <is>
          <t>L01[P1] → v</t>
        </is>
      </c>
      <c r="F16" s="25" t="inlineStr">
        <is>
          <t>exported cell = edited value; ground_truth_diff vs mirror workbook Δ=0</t>
        </is>
      </c>
      <c r="G16" s="25" t="inlineStr">
        <is>
          <t>export L01/L03 · P1</t>
        </is>
      </c>
      <c r="H16" s="26" t="n"/>
      <c r="I16" s="26" t="n"/>
      <c r="J16" s="27">
        <f>IF(AND(ISNUMBER(H16),ISNUMBER(I16)),H16-I16,"")</f>
        <v/>
      </c>
      <c r="K16" s="25" t="n">
        <v>1e-06</v>
      </c>
      <c r="L16" s="21">
        <f>IF(OR(H16="",I16=""),"TODO",IF(ABS(J16)&lt;=K16,"PASS","FAIL"))</f>
        <v/>
      </c>
      <c r="M16" s="17" t="inlineStr"/>
      <c r="N16" s="17" t="inlineStr"/>
      <c r="O16" s="17" t="inlineStr"/>
    </row>
  </sheetData>
  <autoFilter ref="A4:O4"/>
  <mergeCells count="2">
    <mergeCell ref="A1:O1"/>
    <mergeCell ref="A2:O2"/>
  </mergeCells>
  <conditionalFormatting sqref="L5:L17">
    <cfRule type="cellIs" priority="1" operator="equal" dxfId="1">
      <formula>"PASS"</formula>
    </cfRule>
    <cfRule type="cellIs" priority="2" operator="equal" dxfId="0">
      <formula>"FAIL"</formula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4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22" customWidth="1" min="2" max="2"/>
    <col width="30" customWidth="1" min="3" max="3"/>
    <col width="44" customWidth="1" min="4" max="4"/>
    <col width="50" customWidth="1" min="5" max="5"/>
    <col width="10" customWidth="1" min="6" max="6"/>
    <col width="10" customWidth="1" min="7" max="7"/>
    <col width="12" customWidth="1" min="8" max="8"/>
    <col width="11" customWidth="1" min="9" max="9"/>
    <col width="22" customWidth="1" min="10" max="10"/>
    <col width="36" customWidth="1" min="11" max="11"/>
  </cols>
  <sheetData>
    <row r="1" ht="26" customHeight="1">
      <c r="A1" s="16" t="inlineStr">
        <is>
          <t>Functional checks A–I (UI behaviour, sessions, cascade, products, analysis, groups, machines, exports)</t>
        </is>
      </c>
    </row>
    <row r="2">
      <c r="A2" s="2" t="inlineStr">
        <is>
          <t>English edition of docs/checklist-manuele-validatie.md. Sections can be run separately; A → B first. Paste a screenshot per check into the evidence folder.</t>
        </is>
      </c>
    </row>
    <row r="4" ht="30" customHeight="1">
      <c r="A4" s="7" t="inlineStr">
        <is>
          <t>ID</t>
        </is>
      </c>
      <c r="B4" s="7" t="inlineStr">
        <is>
          <t>Section</t>
        </is>
      </c>
      <c r="C4" s="7" t="inlineStr">
        <is>
          <t>Check</t>
        </is>
      </c>
      <c r="D4" s="7" t="inlineStr">
        <is>
          <t>Steps / input</t>
        </is>
      </c>
      <c r="E4" s="7" t="inlineStr">
        <is>
          <t>Expected result</t>
        </is>
      </c>
      <c r="F4" s="7" t="inlineStr">
        <is>
          <t>GT source</t>
        </is>
      </c>
      <c r="G4" s="7" t="inlineStr">
        <is>
          <t>Status</t>
        </is>
      </c>
      <c r="H4" s="7" t="inlineStr">
        <is>
          <t>Tester</t>
        </is>
      </c>
      <c r="I4" s="7" t="inlineStr">
        <is>
          <t>Date</t>
        </is>
      </c>
      <c r="J4" s="7" t="inlineStr">
        <is>
          <t>Evidence (screenshot / file)</t>
        </is>
      </c>
      <c r="K4" s="7" t="inlineStr">
        <is>
          <t>Notes (what you SAW, not what should have been there)</t>
        </is>
      </c>
    </row>
    <row r="5">
      <c r="A5" s="22" t="inlineStr">
        <is>
          <t>A. Master data in the app</t>
        </is>
      </c>
      <c r="B5" s="23" t="n"/>
      <c r="C5" s="23" t="n"/>
      <c r="D5" s="23" t="n"/>
      <c r="E5" s="23" t="n"/>
      <c r="F5" s="23" t="n"/>
      <c r="G5" s="23" t="n"/>
      <c r="H5" s="23" t="n"/>
      <c r="I5" s="23" t="n"/>
      <c r="J5" s="23" t="n"/>
      <c r="K5" s="24" t="n"/>
    </row>
    <row r="6">
      <c r="A6" s="21" t="inlineStr">
        <is>
          <t>A1</t>
        </is>
      </c>
      <c r="B6" s="25" t="inlineStr">
        <is>
          <t>Master data in the app</t>
        </is>
      </c>
      <c r="C6" s="25" t="inlineStr">
        <is>
          <t>Status card</t>
        </is>
      </c>
      <c r="D6" s="25" t="inlineStr">
        <is>
          <t>Open the Config tab.</t>
        </is>
      </c>
      <c r="E6" s="25" t="inlineStr">
        <is>
          <t>Card 'Master data' shows 'Master data in the app, version N' with counts per dataset (or the import button if nothing is there — import the workbook first).</t>
        </is>
      </c>
      <c r="F6" s="21" t="inlineStr">
        <is>
          <t>UI</t>
        </is>
      </c>
      <c r="G6" s="28" t="inlineStr">
        <is>
          <t>TODO</t>
        </is>
      </c>
      <c r="H6" s="17" t="inlineStr"/>
      <c r="I6" s="17" t="inlineStr"/>
      <c r="J6" s="17" t="inlineStr"/>
      <c r="K6" s="17" t="inlineStr"/>
    </row>
    <row r="7">
      <c r="A7" s="21" t="inlineStr">
        <is>
          <t>A2</t>
        </is>
      </c>
      <c r="B7" s="25" t="inlineStr">
        <is>
          <t>Master data in the app</t>
        </is>
      </c>
      <c r="C7" s="25" t="inlineStr">
        <is>
          <t>Rename a material</t>
        </is>
      </c>
      <c r="D7" s="25" t="inlineStr">
        <is>
          <t>Open the materials grid, change one material name (e.g. append ' TEST'), save.</t>
        </is>
      </c>
      <c r="E7" s="25" t="inlineStr">
        <is>
          <t>Message 'Master data saved (version N+1). Recalculate sessions to apply.' Grid shows the new name.</t>
        </is>
      </c>
      <c r="F7" s="21" t="inlineStr">
        <is>
          <t>UI</t>
        </is>
      </c>
      <c r="G7" s="28" t="inlineStr">
        <is>
          <t>TODO</t>
        </is>
      </c>
      <c r="H7" s="17" t="inlineStr"/>
      <c r="I7" s="17" t="inlineStr"/>
      <c r="J7" s="17" t="inlineStr"/>
      <c r="K7" s="17" t="inlineStr"/>
    </row>
    <row r="8">
      <c r="A8" s="21" t="inlineStr">
        <is>
          <t>A3</t>
        </is>
      </c>
      <c r="B8" s="25" t="inlineStr">
        <is>
          <t>Master data in the app</t>
        </is>
      </c>
      <c r="C8" s="25" t="inlineStr">
        <is>
          <t>Name flows through after recalculation</t>
        </is>
      </c>
      <c r="D8" s="25" t="inlineStr">
        <is>
          <t>Go to the active instance and click Calculate.</t>
        </is>
      </c>
      <c r="E8" s="25" t="inlineStr">
        <is>
          <t>The new name is in the planning table for that material — also when the instance runs on a workbook.</t>
        </is>
      </c>
      <c r="F8" s="21" t="inlineStr">
        <is>
          <t>UI</t>
        </is>
      </c>
      <c r="G8" s="28" t="inlineStr">
        <is>
          <t>TODO</t>
        </is>
      </c>
      <c r="H8" s="17" t="inlineStr"/>
      <c r="I8" s="17" t="inlineStr"/>
      <c r="J8" s="17" t="inlineStr"/>
      <c r="K8" s="17" t="inlineStr"/>
    </row>
    <row r="9">
      <c r="A9" s="21" t="inlineStr">
        <is>
          <t>A4</t>
        </is>
      </c>
      <c r="B9" s="25" t="inlineStr">
        <is>
          <t>Master data in the app</t>
        </is>
      </c>
      <c r="C9" s="25" t="inlineStr">
        <is>
          <t>Revert</t>
        </is>
      </c>
      <c r="D9" s="25" t="inlineStr">
        <is>
          <t>Set the name back via the grid and recalculate.</t>
        </is>
      </c>
      <c r="E9" s="25" t="inlineStr">
        <is>
          <t>Original name back in the table; version counter +1 again.</t>
        </is>
      </c>
      <c r="F9" s="21" t="inlineStr">
        <is>
          <t>UI</t>
        </is>
      </c>
      <c r="G9" s="28" t="inlineStr">
        <is>
          <t>TODO</t>
        </is>
      </c>
      <c r="H9" s="17" t="inlineStr"/>
      <c r="I9" s="17" t="inlineStr"/>
      <c r="J9" s="17" t="inlineStr"/>
      <c r="K9" s="17" t="inlineStr"/>
    </row>
    <row r="10">
      <c r="A10" s="21" t="inlineStr">
        <is>
          <t>A5</t>
        </is>
      </c>
      <c r="B10" s="25" t="inlineStr">
        <is>
          <t>Master data in the app</t>
        </is>
      </c>
      <c r="C10" s="25" t="inlineStr">
        <is>
          <t>Price change flows into finance</t>
        </is>
      </c>
      <c r="D10" s="25" t="inlineStr">
        <is>
          <t>In the sales prices dataset change one material's price strongly (e.g. ×2), save, recalculate.</t>
        </is>
      </c>
      <c r="E10" s="25" t="inlineStr">
        <is>
          <t>Revenue of that material moves proportionally; other materials unchanged. Revert + recalculate afterwards.</t>
        </is>
      </c>
      <c r="F10" s="21" t="inlineStr">
        <is>
          <t>GT-C M01</t>
        </is>
      </c>
      <c r="G10" s="28" t="inlineStr">
        <is>
          <t>TODO</t>
        </is>
      </c>
      <c r="H10" s="17" t="inlineStr"/>
      <c r="I10" s="17" t="inlineStr"/>
      <c r="J10" s="17" t="inlineStr"/>
      <c r="K10" s="17" t="inlineStr"/>
    </row>
    <row r="11">
      <c r="A11" s="21" t="inlineStr">
        <is>
          <t>A6</t>
        </is>
      </c>
      <c r="B11" s="25" t="inlineStr">
        <is>
          <t>Master data in the app</t>
        </is>
      </c>
      <c r="C11" s="25" t="inlineStr">
        <is>
          <t>Invalid input is rejected</t>
        </is>
      </c>
      <c r="D11" s="25" t="inlineStr">
        <is>
          <t>Enter text such as 'abc' in a numeric field (safety stock or price) and try to save.</t>
        </is>
      </c>
      <c r="E11" s="25" t="inlineStr">
        <is>
          <t>Clear error message; nothing saved (version unchanged, grid value unchanged after reopening).</t>
        </is>
      </c>
      <c r="F11" s="21" t="inlineStr">
        <is>
          <t>UI</t>
        </is>
      </c>
      <c r="G11" s="28" t="inlineStr">
        <is>
          <t>TODO</t>
        </is>
      </c>
      <c r="H11" s="17" t="inlineStr"/>
      <c r="I11" s="17" t="inlineStr"/>
      <c r="J11" s="17" t="inlineStr"/>
      <c r="K11" s="17" t="inlineStr"/>
    </row>
    <row r="12">
      <c r="A12" s="21" t="inlineStr">
        <is>
          <t>A7</t>
        </is>
      </c>
      <c r="B12" s="25" t="inlineStr">
        <is>
          <t>Master data in the app</t>
        </is>
      </c>
      <c r="C12" s="25" t="inlineStr">
        <is>
          <t>Re-import with diff confirmation</t>
        </is>
      </c>
      <c r="D12" s="25" t="inlineStr">
        <is>
          <t>Import the same (or a new) workbook again via the master-data card.</t>
        </is>
      </c>
      <c r="E12" s="25" t="inlineStr">
        <is>
          <t>The app first shows a difference overview (counts / changed keys) and overwrites only after explicit confirmation.</t>
        </is>
      </c>
      <c r="F12" s="21" t="inlineStr">
        <is>
          <t>UI</t>
        </is>
      </c>
      <c r="G12" s="28" t="inlineStr">
        <is>
          <t>TODO</t>
        </is>
      </c>
      <c r="H12" s="17" t="inlineStr"/>
      <c r="I12" s="17" t="inlineStr"/>
      <c r="J12" s="17" t="inlineStr"/>
      <c r="K12" s="17" t="inlineStr"/>
    </row>
    <row r="13">
      <c r="A13" s="21" t="inlineStr">
        <is>
          <t>A8</t>
        </is>
      </c>
      <c r="B13" s="25" t="inlineStr">
        <is>
          <t>Master data in the app</t>
        </is>
      </c>
      <c r="C13" s="25" t="inlineStr">
        <is>
          <t>Deactivate a material</t>
        </is>
      </c>
      <c r="D13" s="25" t="inlineStr">
        <is>
          <t>Switch off the Active flag of one (small) material, save, recalculate.</t>
        </is>
      </c>
      <c r="E13" s="25" t="inlineStr">
        <is>
          <t>Material disappears from the planning (no lines). Re-activate + recalculate: material is back with the same numbers as before.</t>
        </is>
      </c>
      <c r="F13" s="21" t="inlineStr">
        <is>
          <t>GT-E</t>
        </is>
      </c>
      <c r="G13" s="28" t="inlineStr">
        <is>
          <t>TODO</t>
        </is>
      </c>
      <c r="H13" s="17" t="inlineStr"/>
      <c r="I13" s="17" t="inlineStr"/>
      <c r="J13" s="17" t="inlineStr"/>
      <c r="K13" s="17" t="inlineStr"/>
    </row>
    <row r="14">
      <c r="A14" s="21" t="inlineStr">
        <is>
          <t>A9</t>
        </is>
      </c>
      <c r="B14" s="25" t="inlineStr">
        <is>
          <t>Master data in the app</t>
        </is>
      </c>
      <c r="C14" s="25" t="inlineStr">
        <is>
          <t>Edit machine data</t>
        </is>
      </c>
      <c r="D14" s="25" t="inlineStr">
        <is>
          <t>Change the OEE of a machine in the master-data grid and recalculate.</t>
        </is>
      </c>
      <c r="E14" s="25" t="inlineStr">
        <is>
          <t>Utilization / capacity moves at the next calculation.</t>
        </is>
      </c>
      <c r="F14" s="21" t="inlineStr">
        <is>
          <t>GT-B K4</t>
        </is>
      </c>
      <c r="G14" s="28" t="inlineStr">
        <is>
          <t>TODO</t>
        </is>
      </c>
      <c r="H14" s="17" t="inlineStr"/>
      <c r="I14" s="17" t="inlineStr"/>
      <c r="J14" s="17" t="inlineStr"/>
      <c r="K14" s="17" t="inlineStr"/>
    </row>
    <row r="15">
      <c r="A15" s="21" t="inlineStr">
        <is>
          <t>A10</t>
        </is>
      </c>
      <c r="B15" s="25" t="inlineStr">
        <is>
          <t>Master data in the app</t>
        </is>
      </c>
      <c r="C15" s="25" t="inlineStr">
        <is>
          <t>Edit safety stock</t>
        </is>
      </c>
      <c r="D15" s="25" t="inlineStr">
        <is>
          <t>Raise the safety stock of a material and recalculate.</t>
        </is>
      </c>
      <c r="E15" s="25" t="inlineStr">
        <is>
          <t>Stock planning (L04/L05) shifts upward.</t>
        </is>
      </c>
      <c r="F15" s="21" t="inlineStr">
        <is>
          <t>GT-C M07</t>
        </is>
      </c>
      <c r="G15" s="28" t="inlineStr">
        <is>
          <t>TODO</t>
        </is>
      </c>
      <c r="H15" s="17" t="inlineStr"/>
      <c r="I15" s="17" t="inlineStr"/>
      <c r="J15" s="17" t="inlineStr"/>
      <c r="K15" s="17" t="inlineStr"/>
    </row>
    <row r="16">
      <c r="A16" s="21" t="inlineStr">
        <is>
          <t>A11</t>
        </is>
      </c>
      <c r="B16" s="25" t="inlineStr">
        <is>
          <t>Master data in the app</t>
        </is>
      </c>
      <c r="C16" s="25" t="inlineStr">
        <is>
          <t>Edit valuation parameters</t>
        </is>
      </c>
      <c r="D16" s="25" t="inlineStr">
        <is>
          <t>Change a valuation parameter (e.g. direct FTE cost) and recalculate.</t>
        </is>
      </c>
      <c r="E16" s="25" t="inlineStr">
        <is>
          <t>EBIT / ROCE on the dashboard move.</t>
        </is>
      </c>
      <c r="F16" s="21" t="inlineStr">
        <is>
          <t>GT-B K5</t>
        </is>
      </c>
      <c r="G16" s="28" t="inlineStr">
        <is>
          <t>TODO</t>
        </is>
      </c>
      <c r="H16" s="17" t="inlineStr"/>
      <c r="I16" s="17" t="inlineStr"/>
      <c r="J16" s="17" t="inlineStr"/>
      <c r="K16" s="17" t="inlineStr"/>
    </row>
    <row r="17">
      <c r="A17" s="21" t="inlineStr">
        <is>
          <t>A12</t>
        </is>
      </c>
      <c r="B17" s="25" t="inlineStr">
        <is>
          <t>Master data in the app</t>
        </is>
      </c>
      <c r="C17" s="25" t="inlineStr">
        <is>
          <t>Edit raw material cost</t>
        </is>
      </c>
      <c r="D17" s="25" t="inlineStr">
        <is>
          <t>Change the raw material cost of a material and recalculate.</t>
        </is>
      </c>
      <c r="E17" s="25" t="inlineStr">
        <is>
          <t>Contribution margin / cost of that material move.</t>
        </is>
      </c>
      <c r="F17" s="21" t="inlineStr">
        <is>
          <t>GT-C M02</t>
        </is>
      </c>
      <c r="G17" s="28" t="inlineStr">
        <is>
          <t>TODO</t>
        </is>
      </c>
      <c r="H17" s="17" t="inlineStr"/>
      <c r="I17" s="17" t="inlineStr"/>
      <c r="J17" s="17" t="inlineStr"/>
      <c r="K17" s="17" t="inlineStr"/>
    </row>
    <row r="18">
      <c r="A18" s="22" t="inlineStr">
        <is>
          <t>B. Sessions &amp; persistence</t>
        </is>
      </c>
      <c r="B18" s="23" t="n"/>
      <c r="C18" s="23" t="n"/>
      <c r="D18" s="23" t="n"/>
      <c r="E18" s="23" t="n"/>
      <c r="F18" s="23" t="n"/>
      <c r="G18" s="23" t="n"/>
      <c r="H18" s="23" t="n"/>
      <c r="I18" s="23" t="n"/>
      <c r="J18" s="23" t="n"/>
      <c r="K18" s="24" t="n"/>
    </row>
    <row r="19">
      <c r="A19" s="21" t="inlineStr">
        <is>
          <t>B1</t>
        </is>
      </c>
      <c r="B19" s="25" t="inlineStr">
        <is>
          <t>Sessions &amp; persistence</t>
        </is>
      </c>
      <c r="C19" s="25" t="inlineStr">
        <is>
          <t>New instance</t>
        </is>
      </c>
      <c r="D19" s="25" t="inlineStr">
        <is>
          <t>Create a second instance, upload the workbook, Calculate.</t>
        </is>
      </c>
      <c r="E19" s="25" t="inlineStr">
        <is>
          <t>Table filled; periods run from the planning month + 12 months ahead; no errors.</t>
        </is>
      </c>
      <c r="F19" s="21" t="inlineStr">
        <is>
          <t>UI</t>
        </is>
      </c>
      <c r="G19" s="28" t="inlineStr">
        <is>
          <t>TODO</t>
        </is>
      </c>
      <c r="H19" s="17" t="inlineStr"/>
      <c r="I19" s="17" t="inlineStr"/>
      <c r="J19" s="17" t="inlineStr"/>
      <c r="K19" s="17" t="inlineStr"/>
    </row>
    <row r="20">
      <c r="A20" s="21" t="inlineStr">
        <is>
          <t>B2</t>
        </is>
      </c>
      <c r="B20" s="25" t="inlineStr">
        <is>
          <t>Sessions &amp; persistence</t>
        </is>
      </c>
      <c r="C20" s="25" t="inlineStr">
        <is>
          <t>Switch without leakage</t>
        </is>
      </c>
      <c r="D20" s="25" t="inlineStr">
        <is>
          <t>Switch a few times between both instances.</t>
        </is>
      </c>
      <c r="E20" s="25" t="inlineStr">
        <is>
          <t>Values, config fields (site, forecast months, valuation) and filters always belong to the chosen instance; nothing 'leaks' from the previous one.</t>
        </is>
      </c>
      <c r="F20" s="21" t="inlineStr">
        <is>
          <t>UI</t>
        </is>
      </c>
      <c r="G20" s="28" t="inlineStr">
        <is>
          <t>TODO</t>
        </is>
      </c>
      <c r="H20" s="17" t="inlineStr"/>
      <c r="I20" s="17" t="inlineStr"/>
      <c r="J20" s="17" t="inlineStr"/>
      <c r="K20" s="17" t="inlineStr"/>
    </row>
    <row r="21">
      <c r="A21" s="21" t="inlineStr">
        <is>
          <t>B3</t>
        </is>
      </c>
      <c r="B21" s="25" t="inlineStr">
        <is>
          <t>Sessions &amp; persistence</t>
        </is>
      </c>
      <c r="C21" s="25" t="inlineStr">
        <is>
          <t>Rename instance</t>
        </is>
      </c>
      <c r="D21" s="25" t="inlineStr">
        <is>
          <t>Rename the second instance.</t>
        </is>
      </c>
      <c r="E21" s="25" t="inlineStr">
        <is>
          <t>New name visible everywhere (list, header) and persists after restart.</t>
        </is>
      </c>
      <c r="F21" s="21" t="inlineStr">
        <is>
          <t>UI</t>
        </is>
      </c>
      <c r="G21" s="28" t="inlineStr">
        <is>
          <t>TODO</t>
        </is>
      </c>
      <c r="H21" s="17" t="inlineStr"/>
      <c r="I21" s="17" t="inlineStr"/>
      <c r="J21" s="17" t="inlineStr"/>
      <c r="K21" s="17" t="inlineStr"/>
    </row>
    <row r="22">
      <c r="A22" s="21" t="inlineStr">
        <is>
          <t>B4</t>
        </is>
      </c>
      <c r="B22" s="25" t="inlineStr">
        <is>
          <t>Sessions &amp; persistence</t>
        </is>
      </c>
      <c r="C22" s="25" t="inlineStr">
        <is>
          <t>Change parameters</t>
        </is>
      </c>
      <c r="D22" s="25" t="inlineStr">
        <is>
          <t>In the second instance change the planning month or the number of actuals months and recalculate.</t>
        </is>
      </c>
      <c r="E22" s="25" t="inlineStr">
        <is>
          <t>Period columns shift; the first instance keeps its own parameters.</t>
        </is>
      </c>
      <c r="F22" s="21" t="inlineStr">
        <is>
          <t>UI</t>
        </is>
      </c>
      <c r="G22" s="28" t="inlineStr">
        <is>
          <t>TODO</t>
        </is>
      </c>
      <c r="H22" s="17" t="inlineStr"/>
      <c r="I22" s="17" t="inlineStr"/>
      <c r="J22" s="17" t="inlineStr"/>
      <c r="K22" s="17" t="inlineStr"/>
    </row>
    <row r="23">
      <c r="A23" s="21" t="inlineStr">
        <is>
          <t>B5</t>
        </is>
      </c>
      <c r="B23" s="25" t="inlineStr">
        <is>
          <t>Sessions &amp; persistence</t>
        </is>
      </c>
      <c r="C23" s="25" t="inlineStr">
        <is>
          <t>Restart</t>
        </is>
      </c>
      <c r="D23" s="25" t="inlineStr">
        <is>
          <t>Close the app completely and start again.</t>
        </is>
      </c>
      <c r="E23" s="25" t="inlineStr">
        <is>
          <t>Both instances still there; after warm-up they show the same numbers, names and parameters as before the restart. Export before and after → ground_truth_diff Δ=0.</t>
        </is>
      </c>
      <c r="F23" s="21" t="inlineStr">
        <is>
          <t>GT-E</t>
        </is>
      </c>
      <c r="G23" s="28" t="inlineStr">
        <is>
          <t>TODO</t>
        </is>
      </c>
      <c r="H23" s="17" t="inlineStr"/>
      <c r="I23" s="17" t="inlineStr"/>
      <c r="J23" s="17" t="inlineStr"/>
      <c r="K23" s="17" t="inlineStr"/>
    </row>
    <row r="24">
      <c r="A24" s="21" t="inlineStr">
        <is>
          <t>B6</t>
        </is>
      </c>
      <c r="B24" s="25" t="inlineStr">
        <is>
          <t>Sessions &amp; persistence</t>
        </is>
      </c>
      <c r="C24" s="25" t="inlineStr">
        <is>
          <t>Config per instance after restart</t>
        </is>
      </c>
      <c r="D24" s="25" t="inlineStr">
        <is>
          <t>After the restart switch to the second instance and open the Config tab.</t>
        </is>
      </c>
      <c r="E24" s="25" t="inlineStr">
        <is>
          <t>Config fields show the values of THIS instance, not those of the first loaded instance.</t>
        </is>
      </c>
      <c r="F24" s="21" t="inlineStr">
        <is>
          <t>UI</t>
        </is>
      </c>
      <c r="G24" s="28" t="inlineStr">
        <is>
          <t>TODO</t>
        </is>
      </c>
      <c r="H24" s="17" t="inlineStr"/>
      <c r="I24" s="17" t="inlineStr"/>
      <c r="J24" s="17" t="inlineStr"/>
      <c r="K24" s="17" t="inlineStr"/>
    </row>
    <row r="25">
      <c r="A25" s="21" t="inlineStr">
        <is>
          <t>B7</t>
        </is>
      </c>
      <c r="B25" s="25" t="inlineStr">
        <is>
          <t>Sessions &amp; persistence</t>
        </is>
      </c>
      <c r="C25" s="25" t="inlineStr">
        <is>
          <t>Third instance</t>
        </is>
      </c>
      <c r="D25" s="25" t="inlineStr">
        <is>
          <t>Create a third instance next to the two existing ones.</t>
        </is>
      </c>
      <c r="E25" s="25" t="inlineStr">
        <is>
          <t>All three are separate in the Files list with their own numbers.</t>
        </is>
      </c>
      <c r="F25" s="21" t="inlineStr">
        <is>
          <t>UI</t>
        </is>
      </c>
      <c r="G25" s="28" t="inlineStr">
        <is>
          <t>TODO</t>
        </is>
      </c>
      <c r="H25" s="17" t="inlineStr"/>
      <c r="I25" s="17" t="inlineStr"/>
      <c r="J25" s="17" t="inlineStr"/>
      <c r="K25" s="17" t="inlineStr"/>
    </row>
    <row r="26">
      <c r="A26" s="21" t="inlineStr">
        <is>
          <t>B8</t>
        </is>
      </c>
      <c r="B26" s="25" t="inlineStr">
        <is>
          <t>Sessions &amp; persistence</t>
        </is>
      </c>
      <c r="C26" s="25" t="inlineStr">
        <is>
          <t>Delete instance</t>
        </is>
      </c>
      <c r="D26" s="25" t="inlineStr">
        <is>
          <t>Delete one instance.</t>
        </is>
      </c>
      <c r="E26" s="25" t="inlineStr">
        <is>
          <t>The instance is gone; the other instances and their data remain intact.</t>
        </is>
      </c>
      <c r="F26" s="21" t="inlineStr">
        <is>
          <t>UI</t>
        </is>
      </c>
      <c r="G26" s="28" t="inlineStr">
        <is>
          <t>TODO</t>
        </is>
      </c>
      <c r="H26" s="17" t="inlineStr"/>
      <c r="I26" s="17" t="inlineStr"/>
      <c r="J26" s="17" t="inlineStr"/>
      <c r="K26" s="17" t="inlineStr"/>
    </row>
    <row r="27">
      <c r="A27" s="21" t="inlineStr">
        <is>
          <t>B9</t>
        </is>
      </c>
      <c r="B27" s="25" t="inlineStr">
        <is>
          <t>Sessions &amp; persistence</t>
        </is>
      </c>
      <c r="C27" s="25" t="inlineStr">
        <is>
          <t>Save and load a scenario</t>
        </is>
      </c>
      <c r="D27" s="25" t="inlineStr">
        <is>
          <t>Save a scenario inside an instance, make an edit, load the scenario back.</t>
        </is>
      </c>
      <c r="E27" s="25" t="inlineStr">
        <is>
          <t>The instance returns to the saved state.</t>
        </is>
      </c>
      <c r="F27" s="21" t="inlineStr">
        <is>
          <t>UI</t>
        </is>
      </c>
      <c r="G27" s="28" t="inlineStr">
        <is>
          <t>TODO</t>
        </is>
      </c>
      <c r="H27" s="17" t="inlineStr"/>
      <c r="I27" s="17" t="inlineStr"/>
      <c r="J27" s="17" t="inlineStr"/>
      <c r="K27" s="17" t="inlineStr"/>
    </row>
    <row r="28">
      <c r="A28" s="21" t="inlineStr">
        <is>
          <t>B10</t>
        </is>
      </c>
      <c r="B28" s="25" t="inlineStr">
        <is>
          <t>Sessions &amp; persistence</t>
        </is>
      </c>
      <c r="C28" s="25" t="inlineStr">
        <is>
          <t>Config isolation on edit</t>
        </is>
      </c>
      <c r="D28" s="25" t="inlineStr">
        <is>
          <t>Make a config change in instance A; check instance B.</t>
        </is>
      </c>
      <c r="E28" s="25" t="inlineStr">
        <is>
          <t>Instance B untouched (no config leakage between instances).</t>
        </is>
      </c>
      <c r="F28" s="21" t="inlineStr">
        <is>
          <t>UI</t>
        </is>
      </c>
      <c r="G28" s="28" t="inlineStr">
        <is>
          <t>TODO</t>
        </is>
      </c>
      <c r="H28" s="17" t="inlineStr"/>
      <c r="I28" s="17" t="inlineStr"/>
      <c r="J28" s="17" t="inlineStr"/>
      <c r="K28" s="17" t="inlineStr"/>
    </row>
    <row r="29">
      <c r="A29" s="22" t="inlineStr">
        <is>
          <t>C. Edits &amp; cascade</t>
        </is>
      </c>
      <c r="B29" s="23" t="n"/>
      <c r="C29" s="23" t="n"/>
      <c r="D29" s="23" t="n"/>
      <c r="E29" s="23" t="n"/>
      <c r="F29" s="23" t="n"/>
      <c r="G29" s="23" t="n"/>
      <c r="H29" s="23" t="n"/>
      <c r="I29" s="23" t="n"/>
      <c r="J29" s="23" t="n"/>
      <c r="K29" s="24" t="n"/>
    </row>
    <row r="30">
      <c r="A30" s="21" t="inlineStr">
        <is>
          <t>C1</t>
        </is>
      </c>
      <c r="B30" s="25" t="inlineStr">
        <is>
          <t>Edits &amp; cascade</t>
        </is>
      </c>
      <c r="C30" s="25" t="inlineStr">
        <is>
          <t>Forecast edit cascades</t>
        </is>
      </c>
      <c r="D30" s="25" t="inlineStr">
        <is>
          <t>Change one L01 cell (demand forecast) strongly, e.g. ×2.</t>
        </is>
      </c>
      <c r="E30" s="25" t="inlineStr">
        <is>
          <t>L03/L04/L06 of that material move; the machine chart of the involved machine group changes; table and chart tell the same story.</t>
        </is>
      </c>
      <c r="F30" s="21" t="inlineStr">
        <is>
          <t>GT-C M03</t>
        </is>
      </c>
      <c r="G30" s="28" t="inlineStr">
        <is>
          <t>TODO</t>
        </is>
      </c>
      <c r="H30" s="17" t="inlineStr"/>
      <c r="I30" s="17" t="inlineStr"/>
      <c r="J30" s="17" t="inlineStr"/>
      <c r="K30" s="17" t="inlineStr"/>
    </row>
    <row r="31">
      <c r="A31" s="21" t="inlineStr">
        <is>
          <t>C2</t>
        </is>
      </c>
      <c r="B31" s="25" t="inlineStr">
        <is>
          <t>Edits &amp; cascade</t>
        </is>
      </c>
      <c r="C31" s="25" t="inlineStr">
        <is>
          <t>Undo</t>
        </is>
      </c>
      <c r="D31" s="25" t="inlineStr">
        <is>
          <t>Undo the edit.</t>
        </is>
      </c>
      <c r="E31" s="25" t="inlineStr">
        <is>
          <t>All derived lines exactly back to the old values.</t>
        </is>
      </c>
      <c r="F31" s="21" t="inlineStr">
        <is>
          <t>GT-E</t>
        </is>
      </c>
      <c r="G31" s="28" t="inlineStr">
        <is>
          <t>TODO</t>
        </is>
      </c>
      <c r="H31" s="17" t="inlineStr"/>
      <c r="I31" s="17" t="inlineStr"/>
      <c r="J31" s="17" t="inlineStr"/>
      <c r="K31" s="17" t="inlineStr"/>
    </row>
    <row r="32">
      <c r="A32" s="21" t="inlineStr">
        <is>
          <t>C3</t>
        </is>
      </c>
      <c r="B32" s="25" t="inlineStr">
        <is>
          <t>Edits &amp; cascade</t>
        </is>
      </c>
      <c r="C32" s="25" t="inlineStr">
        <is>
          <t>Cascade to components</t>
        </is>
      </c>
      <c r="D32" s="25" t="inlineStr">
        <is>
          <t>Change the production plan (L06) of an end product with a BOM.</t>
        </is>
      </c>
      <c r="E32" s="25" t="inlineStr">
        <is>
          <t>Derived demand (L02/L08) of its components moves — parent → child chain is right.</t>
        </is>
      </c>
      <c r="F32" s="21" t="inlineStr">
        <is>
          <t>GT-C M04</t>
        </is>
      </c>
      <c r="G32" s="28" t="inlineStr">
        <is>
          <t>TODO</t>
        </is>
      </c>
      <c r="H32" s="17" t="inlineStr"/>
      <c r="I32" s="17" t="inlineStr"/>
      <c r="J32" s="17" t="inlineStr"/>
      <c r="K32" s="17" t="inlineStr"/>
    </row>
    <row r="33">
      <c r="A33" s="21" t="inlineStr">
        <is>
          <t>C4</t>
        </is>
      </c>
      <c r="B33" s="25" t="inlineStr">
        <is>
          <t>Edits &amp; cascade</t>
        </is>
      </c>
      <c r="C33" s="25" t="inlineStr">
        <is>
          <t>Combination + restart (replay)</t>
        </is>
      </c>
      <c r="D33" s="25" t="inlineStr">
        <is>
          <t>Make two edits after each other (first L01, then L06 of another material), note two derived values, restart the app.</t>
        </is>
      </c>
      <c r="E33" s="25" t="inlineStr">
        <is>
          <t>After the restart exactly the same end values — saved edits are replayed in the right order.</t>
        </is>
      </c>
      <c r="F33" s="21" t="inlineStr">
        <is>
          <t>GT-C M05</t>
        </is>
      </c>
      <c r="G33" s="28" t="inlineStr">
        <is>
          <t>TODO</t>
        </is>
      </c>
      <c r="H33" s="17" t="inlineStr"/>
      <c r="I33" s="17" t="inlineStr"/>
      <c r="J33" s="17" t="inlineStr"/>
      <c r="K33" s="17" t="inlineStr"/>
    </row>
    <row r="34">
      <c r="A34" s="21" t="inlineStr">
        <is>
          <t>C5</t>
        </is>
      </c>
      <c r="B34" s="25" t="inlineStr">
        <is>
          <t>Edits &amp; cascade</t>
        </is>
      </c>
      <c r="C34" s="25" t="inlineStr">
        <is>
          <t>Bulk edit</t>
        </is>
      </c>
      <c r="D34" s="25" t="inlineStr">
        <is>
          <t>Select several periods of a line (drag) and change them in one go.</t>
        </is>
      </c>
      <c r="E34" s="25" t="inlineStr">
        <is>
          <t>All selected cells get the new value; the cascade runs once, cleanly.</t>
        </is>
      </c>
      <c r="F34" s="21" t="inlineStr">
        <is>
          <t>GT-C M06</t>
        </is>
      </c>
      <c r="G34" s="28" t="inlineStr">
        <is>
          <t>TODO</t>
        </is>
      </c>
      <c r="H34" s="17" t="inlineStr"/>
      <c r="I34" s="17" t="inlineStr"/>
      <c r="J34" s="17" t="inlineStr"/>
      <c r="K34" s="17" t="inlineStr"/>
    </row>
    <row r="35">
      <c r="A35" s="21" t="inlineStr">
        <is>
          <t>C6</t>
        </is>
      </c>
      <c r="B35" s="25" t="inlineStr">
        <is>
          <t>Edits &amp; cascade</t>
        </is>
      </c>
      <c r="C35" s="25" t="inlineStr">
        <is>
          <t>Starting stock edit (L04)</t>
        </is>
      </c>
      <c r="D35" s="25" t="inlineStr">
        <is>
          <t>Change the starting stock of a material.</t>
        </is>
      </c>
      <c r="E35" s="25" t="inlineStr">
        <is>
          <t>The stock line (L04) shifts over the whole horizon and production/purchase planning reacts where stock would drop below safety stock.</t>
        </is>
      </c>
      <c r="F35" s="21" t="inlineStr">
        <is>
          <t>GT-D I3</t>
        </is>
      </c>
      <c r="G35" s="28" t="inlineStr">
        <is>
          <t>TODO</t>
        </is>
      </c>
      <c r="H35" s="17" t="inlineStr"/>
      <c r="I35" s="17" t="inlineStr"/>
      <c r="J35" s="17" t="inlineStr"/>
      <c r="K35" s="17" t="inlineStr"/>
    </row>
    <row r="36">
      <c r="A36" s="21" t="inlineStr">
        <is>
          <t>C7</t>
        </is>
      </c>
      <c r="B36" s="25" t="inlineStr">
        <is>
          <t>Edits &amp; cascade</t>
        </is>
      </c>
      <c r="C36" s="25" t="inlineStr">
        <is>
          <t>Reset</t>
        </is>
      </c>
      <c r="D36" s="25" t="inlineStr">
        <is>
          <t>Click Reset after the edits above.</t>
        </is>
      </c>
      <c r="E36" s="25" t="inlineStr">
        <is>
          <t>Everything back to baseline; the edits list is empty; starting-stock and bulk edits are gone too.</t>
        </is>
      </c>
      <c r="F36" s="21" t="inlineStr">
        <is>
          <t>GT-E</t>
        </is>
      </c>
      <c r="G36" s="28" t="inlineStr">
        <is>
          <t>TODO</t>
        </is>
      </c>
      <c r="H36" s="17" t="inlineStr"/>
      <c r="I36" s="17" t="inlineStr"/>
      <c r="J36" s="17" t="inlineStr"/>
      <c r="K36" s="17" t="inlineStr"/>
    </row>
    <row r="37">
      <c r="A37" s="21" t="inlineStr">
        <is>
          <t>C8</t>
        </is>
      </c>
      <c r="B37" s="25" t="inlineStr">
        <is>
          <t>Edits &amp; cascade</t>
        </is>
      </c>
      <c r="C37" s="25" t="inlineStr">
        <is>
          <t>Comment</t>
        </is>
      </c>
      <c r="D37" s="25" t="inlineStr">
        <is>
          <t>Put a comment on a cell, restart the app.</t>
        </is>
      </c>
      <c r="E37" s="25" t="inlineStr">
        <is>
          <t>Comment indicator visible and the text is preserved.</t>
        </is>
      </c>
      <c r="F37" s="21" t="inlineStr">
        <is>
          <t>UI</t>
        </is>
      </c>
      <c r="G37" s="28" t="inlineStr">
        <is>
          <t>TODO</t>
        </is>
      </c>
      <c r="H37" s="17" t="inlineStr"/>
      <c r="I37" s="17" t="inlineStr"/>
      <c r="J37" s="17" t="inlineStr"/>
      <c r="K37" s="17" t="inlineStr"/>
    </row>
    <row r="38">
      <c r="A38" s="21" t="inlineStr">
        <is>
          <t>C9</t>
        </is>
      </c>
      <c r="B38" s="25" t="inlineStr">
        <is>
          <t>Edits &amp; cascade</t>
        </is>
      </c>
      <c r="C38" s="25" t="inlineStr">
        <is>
          <t>Redo after undo</t>
        </is>
      </c>
      <c r="D38" s="25" t="inlineStr">
        <is>
          <t>Make an edit, undo, then redo.</t>
        </is>
      </c>
      <c r="E38" s="25" t="inlineStr">
        <is>
          <t>Redo restores exactly the edited value and the cascade.</t>
        </is>
      </c>
      <c r="F38" s="21" t="inlineStr">
        <is>
          <t>GT-E</t>
        </is>
      </c>
      <c r="G38" s="28" t="inlineStr">
        <is>
          <t>TODO</t>
        </is>
      </c>
      <c r="H38" s="17" t="inlineStr"/>
      <c r="I38" s="17" t="inlineStr"/>
      <c r="J38" s="17" t="inlineStr"/>
      <c r="K38" s="17" t="inlineStr"/>
    </row>
    <row r="39">
      <c r="A39" s="21" t="inlineStr">
        <is>
          <t>C10</t>
        </is>
      </c>
      <c r="B39" s="25" t="inlineStr">
        <is>
          <t>Edits &amp; cascade</t>
        </is>
      </c>
      <c r="C39" s="25" t="inlineStr">
        <is>
          <t>Minimum target stock edit (L05)</t>
        </is>
      </c>
      <c r="D39" s="25" t="inlineStr">
        <is>
          <t>Change the minimum target stock of a material.</t>
        </is>
      </c>
      <c r="E39" s="25" t="inlineStr">
        <is>
          <t>Production/purchase planning reacts where stock would drop below the target.</t>
        </is>
      </c>
      <c r="F39" s="21" t="inlineStr">
        <is>
          <t>GT-C M07</t>
        </is>
      </c>
      <c r="G39" s="28" t="inlineStr">
        <is>
          <t>TODO</t>
        </is>
      </c>
      <c r="H39" s="17" t="inlineStr"/>
      <c r="I39" s="17" t="inlineStr"/>
      <c r="J39" s="17" t="inlineStr"/>
      <c r="K39" s="17" t="inlineStr"/>
    </row>
    <row r="40">
      <c r="A40" s="21" t="inlineStr">
        <is>
          <t>C11</t>
        </is>
      </c>
      <c r="B40" s="25" t="inlineStr">
        <is>
          <t>Edits &amp; cascade</t>
        </is>
      </c>
      <c r="C40" s="25" t="inlineStr">
        <is>
          <t>Repeated edit on the same cell</t>
        </is>
      </c>
      <c r="D40" s="25" t="inlineStr">
        <is>
          <t>Change the same cell twice in a row, then undo.</t>
        </is>
      </c>
      <c r="E40" s="25" t="inlineStr">
        <is>
          <t>Undo returns to the original value (not the intermediate one).</t>
        </is>
      </c>
      <c r="F40" s="21" t="inlineStr">
        <is>
          <t>GT-C M08</t>
        </is>
      </c>
      <c r="G40" s="28" t="inlineStr">
        <is>
          <t>TODO</t>
        </is>
      </c>
      <c r="H40" s="17" t="inlineStr"/>
      <c r="I40" s="17" t="inlineStr"/>
      <c r="J40" s="17" t="inlineStr"/>
      <c r="K40" s="17" t="inlineStr"/>
    </row>
    <row r="41">
      <c r="A41" s="21" t="inlineStr">
        <is>
          <t>C12</t>
        </is>
      </c>
      <c r="B41" s="25" t="inlineStr">
        <is>
          <t>Edits &amp; cascade</t>
        </is>
      </c>
      <c r="C41" s="25" t="inlineStr">
        <is>
          <t>Purchase receipt edit (L06 purchase)</t>
        </is>
      </c>
      <c r="D41" s="25" t="inlineStr">
        <is>
          <t>Change the purchase receipt of a purchased material.</t>
        </is>
      </c>
      <c r="E41" s="25" t="inlineStr">
        <is>
          <t>Stock (L04) and purchase plan (L07) move consistently.</t>
        </is>
      </c>
      <c r="F41" s="21" t="inlineStr">
        <is>
          <t>GT-D I3</t>
        </is>
      </c>
      <c r="G41" s="28" t="inlineStr">
        <is>
          <t>TODO</t>
        </is>
      </c>
      <c r="H41" s="17" t="inlineStr"/>
      <c r="I41" s="17" t="inlineStr"/>
      <c r="J41" s="17" t="inlineStr"/>
      <c r="K41" s="17" t="inlineStr"/>
    </row>
    <row r="42">
      <c r="A42" s="22" t="inlineStr">
        <is>
          <t>D. Dynamic products</t>
        </is>
      </c>
      <c r="B42" s="23" t="n"/>
      <c r="C42" s="23" t="n"/>
      <c r="D42" s="23" t="n"/>
      <c r="E42" s="23" t="n"/>
      <c r="F42" s="23" t="n"/>
      <c r="G42" s="23" t="n"/>
      <c r="H42" s="23" t="n"/>
      <c r="I42" s="23" t="n"/>
      <c r="J42" s="23" t="n"/>
      <c r="K42" s="24" t="n"/>
    </row>
    <row r="43">
      <c r="A43" s="21" t="inlineStr">
        <is>
          <t>D1</t>
        </is>
      </c>
      <c r="B43" s="25" t="inlineStr">
        <is>
          <t>Dynamic products</t>
        </is>
      </c>
      <c r="C43" s="25" t="inlineStr">
        <is>
          <t>Purchased product (MOQ + lead time)</t>
        </is>
      </c>
      <c r="D43" s="25" t="inlineStr">
        <is>
          <t>Add a purchased product with MOQ 250 and lead time 2 months.</t>
        </is>
      </c>
      <c r="E43" s="25" t="inlineStr">
        <is>
          <t>Purchase lines present; no order smaller than 250; orders shift forward by the lead time.</t>
        </is>
      </c>
      <c r="F43" s="21" t="inlineStr">
        <is>
          <t>GT-B K1</t>
        </is>
      </c>
      <c r="G43" s="28" t="inlineStr">
        <is>
          <t>TODO</t>
        </is>
      </c>
      <c r="H43" s="17" t="inlineStr"/>
      <c r="I43" s="17" t="inlineStr"/>
      <c r="J43" s="17" t="inlineStr"/>
      <c r="K43" s="17" t="inlineStr"/>
    </row>
    <row r="44">
      <c r="A44" s="21" t="inlineStr">
        <is>
          <t>D2</t>
        </is>
      </c>
      <c r="B44" s="25" t="inlineStr">
        <is>
          <t>Dynamic products</t>
        </is>
      </c>
      <c r="C44" s="25" t="inlineStr">
        <is>
          <t>Produced with BOM + routing</t>
        </is>
      </c>
      <c r="D44" s="25" t="inlineStr">
        <is>
          <t>Add a produced product with an existing material as component and a machine routing.</t>
        </is>
      </c>
      <c r="E44" s="25" t="inlineStr">
        <is>
          <t>Production lines present; the machine group gets extra hours; the component gets dependent demand.</t>
        </is>
      </c>
      <c r="F44" s="21" t="inlineStr">
        <is>
          <t>GT-D I2</t>
        </is>
      </c>
      <c r="G44" s="28" t="inlineStr">
        <is>
          <t>TODO</t>
        </is>
      </c>
      <c r="H44" s="17" t="inlineStr"/>
      <c r="I44" s="17" t="inlineStr"/>
      <c r="J44" s="17" t="inlineStr"/>
      <c r="K44" s="17" t="inlineStr"/>
    </row>
    <row r="45">
      <c r="A45" s="21" t="inlineStr">
        <is>
          <t>D3</t>
        </is>
      </c>
      <c r="B45" s="25" t="inlineStr">
        <is>
          <t>Dynamic products</t>
        </is>
      </c>
      <c r="C45" s="25" t="inlineStr">
        <is>
          <t>Mix product (PAP split)</t>
        </is>
      </c>
      <c r="D45" s="25" t="inlineStr">
        <is>
          <t>Add a mix product with 30 % purchased / 70 % produced.</t>
        </is>
      </c>
      <c r="E45" s="25" t="inlineStr">
        <is>
          <t>Both purchase and production lines in the given ratio.</t>
        </is>
      </c>
      <c r="F45" s="21" t="inlineStr">
        <is>
          <t>GT-B</t>
        </is>
      </c>
      <c r="G45" s="28" t="inlineStr">
        <is>
          <t>TODO</t>
        </is>
      </c>
      <c r="H45" s="17" t="inlineStr"/>
      <c r="I45" s="17" t="inlineStr"/>
      <c r="J45" s="17" t="inlineStr"/>
      <c r="K45" s="17" t="inlineStr"/>
    </row>
    <row r="46">
      <c r="A46" s="21" t="inlineStr">
        <is>
          <t>D4</t>
        </is>
      </c>
      <c r="B46" s="25" t="inlineStr">
        <is>
          <t>Dynamic products</t>
        </is>
      </c>
      <c r="C46" s="25" t="inlineStr">
        <is>
          <t>Financial reconciliation (3 products)</t>
        </is>
      </c>
      <c r="D46" s="25" t="inlineStr">
        <is>
          <t>Check revenue and cost of the three test products.</t>
        </is>
      </c>
      <c r="E46" s="25" t="inlineStr">
        <is>
          <t>Revenue = price × volume; raw/machine cost reconcile; dashboard totals have grown accordingly.</t>
        </is>
      </c>
      <c r="F46" s="21" t="inlineStr">
        <is>
          <t>GT-D I8</t>
        </is>
      </c>
      <c r="G46" s="28" t="inlineStr">
        <is>
          <t>TODO</t>
        </is>
      </c>
      <c r="H46" s="17" t="inlineStr"/>
      <c r="I46" s="17" t="inlineStr"/>
      <c r="J46" s="17" t="inlineStr"/>
      <c r="K46" s="17" t="inlineStr"/>
    </row>
    <row r="47">
      <c r="A47" s="21" t="inlineStr">
        <is>
          <t>D5</t>
        </is>
      </c>
      <c r="B47" s="25" t="inlineStr">
        <is>
          <t>Dynamic products</t>
        </is>
      </c>
      <c r="C47" s="25" t="inlineStr">
        <is>
          <t>Product uses ANOTHER added product (reported bug)</t>
        </is>
      </c>
      <c r="D47" s="25" t="inlineStr">
        <is>
          <t>Add product B that uses test product A (from D1) as BOM component.</t>
        </is>
      </c>
      <c r="E47" s="25" t="inlineStr">
        <is>
          <t>A is in the component list (marked 'added'); B saves; A gets dependent demand from B.</t>
        </is>
      </c>
      <c r="F47" s="21" t="inlineStr">
        <is>
          <t>GT-D I2</t>
        </is>
      </c>
      <c r="G47" s="28" t="inlineStr">
        <is>
          <t>TODO</t>
        </is>
      </c>
      <c r="H47" s="17" t="inlineStr"/>
      <c r="I47" s="17" t="inlineStr"/>
      <c r="J47" s="17" t="inlineStr"/>
      <c r="K47" s="17" t="inlineStr"/>
    </row>
    <row r="48">
      <c r="A48" s="21" t="inlineStr">
        <is>
          <t>D6</t>
        </is>
      </c>
      <c r="B48" s="25" t="inlineStr">
        <is>
          <t>Dynamic products</t>
        </is>
      </c>
      <c r="C48" s="25" t="inlineStr">
        <is>
          <t>Edge: MOQ larger than demand</t>
        </is>
      </c>
      <c r="D48" s="25" t="inlineStr">
        <is>
          <t>Add a purchased product with a small volume but a large MOQ.</t>
        </is>
      </c>
      <c r="E48" s="25" t="inlineStr">
        <is>
          <t>The order is at least the MOQ; surplus builds up stock.</t>
        </is>
      </c>
      <c r="F48" s="21" t="inlineStr">
        <is>
          <t>GT-D I5</t>
        </is>
      </c>
      <c r="G48" s="28" t="inlineStr">
        <is>
          <t>TODO</t>
        </is>
      </c>
      <c r="H48" s="17" t="inlineStr"/>
      <c r="I48" s="17" t="inlineStr"/>
      <c r="J48" s="17" t="inlineStr"/>
      <c r="K48" s="17" t="inlineStr"/>
    </row>
    <row r="49">
      <c r="A49" s="21" t="inlineStr">
        <is>
          <t>D7</t>
        </is>
      </c>
      <c r="B49" s="25" t="inlineStr">
        <is>
          <t>Dynamic products</t>
        </is>
      </c>
      <c r="C49" s="25" t="inlineStr">
        <is>
          <t>Edge: source-file number rejected</t>
        </is>
      </c>
      <c r="D49" s="25" t="inlineStr">
        <is>
          <t>Try to add a product with a material number that already exists in the source file.</t>
        </is>
      </c>
      <c r="E49" s="25" t="inlineStr">
        <is>
          <t>Clean error message; nothing is added.</t>
        </is>
      </c>
      <c r="F49" s="21" t="inlineStr">
        <is>
          <t>UI</t>
        </is>
      </c>
      <c r="G49" s="28" t="inlineStr">
        <is>
          <t>TODO</t>
        </is>
      </c>
      <c r="H49" s="17" t="inlineStr"/>
      <c r="I49" s="17" t="inlineStr"/>
      <c r="J49" s="17" t="inlineStr"/>
      <c r="K49" s="17" t="inlineStr"/>
    </row>
    <row r="50">
      <c r="A50" s="21" t="inlineStr">
        <is>
          <t>D8</t>
        </is>
      </c>
      <c r="B50" s="25" t="inlineStr">
        <is>
          <t>Dynamic products</t>
        </is>
      </c>
      <c r="C50" s="25" t="inlineStr">
        <is>
          <t>Edge: self-reference rejected</t>
        </is>
      </c>
      <c r="D50" s="25" t="inlineStr">
        <is>
          <t>Try to save a product that has itself as component.</t>
        </is>
      </c>
      <c r="E50" s="25" t="inlineStr">
        <is>
          <t>Error 'cannot be linked to itself'; nothing saved.</t>
        </is>
      </c>
      <c r="F50" s="21" t="inlineStr">
        <is>
          <t>UI</t>
        </is>
      </c>
      <c r="G50" s="28" t="inlineStr">
        <is>
          <t>TODO</t>
        </is>
      </c>
      <c r="H50" s="17" t="inlineStr"/>
      <c r="I50" s="17" t="inlineStr"/>
      <c r="J50" s="17" t="inlineStr"/>
      <c r="K50" s="17" t="inlineStr"/>
    </row>
    <row r="51">
      <c r="A51" s="21" t="inlineStr">
        <is>
          <t>D9</t>
        </is>
      </c>
      <c r="B51" s="25" t="inlineStr">
        <is>
          <t>Dynamic products</t>
        </is>
      </c>
      <c r="C51" s="25" t="inlineStr">
        <is>
          <t>Edit product (upsert)</t>
        </is>
      </c>
      <c r="D51" s="25" t="inlineStr">
        <is>
          <t>Open an existing test product, change the volume, save.</t>
        </is>
      </c>
      <c r="E51" s="25" t="inlineStr">
        <is>
          <t>The planning recalculates with the new value; no duplicate (same number).</t>
        </is>
      </c>
      <c r="F51" s="21" t="inlineStr">
        <is>
          <t>UI</t>
        </is>
      </c>
      <c r="G51" s="28" t="inlineStr">
        <is>
          <t>TODO</t>
        </is>
      </c>
      <c r="H51" s="17" t="inlineStr"/>
      <c r="I51" s="17" t="inlineStr"/>
      <c r="J51" s="17" t="inlineStr"/>
      <c r="K51" s="17" t="inlineStr"/>
    </row>
    <row r="52">
      <c r="A52" s="21" t="inlineStr">
        <is>
          <t>D10</t>
        </is>
      </c>
      <c r="B52" s="25" t="inlineStr">
        <is>
          <t>Dynamic products</t>
        </is>
      </c>
      <c r="C52" s="25" t="inlineStr">
        <is>
          <t>Delete + session switch</t>
        </is>
      </c>
      <c r="D52" s="25" t="inlineStr">
        <is>
          <t>Switch to the other instance and back; then delete one test product.</t>
        </is>
      </c>
      <c r="E52" s="25" t="inlineStr">
        <is>
          <t>Products stay with their own instance; after deletion the product is gone everywhere and the planning is right without it.</t>
        </is>
      </c>
      <c r="F52" s="21" t="inlineStr">
        <is>
          <t>UI</t>
        </is>
      </c>
      <c r="G52" s="28" t="inlineStr">
        <is>
          <t>TODO</t>
        </is>
      </c>
      <c r="H52" s="17" t="inlineStr"/>
      <c r="I52" s="17" t="inlineStr"/>
      <c r="J52" s="17" t="inlineStr"/>
      <c r="K52" s="17" t="inlineStr"/>
    </row>
    <row r="53">
      <c r="A53" s="21" t="inlineStr">
        <is>
          <t>D11</t>
        </is>
      </c>
      <c r="B53" s="25" t="inlineStr">
        <is>
          <t>Dynamic products</t>
        </is>
      </c>
      <c r="C53" s="25" t="inlineStr">
        <is>
          <t>Mix boundary values (0 and 1)</t>
        </is>
      </c>
      <c r="D53" s="25" t="inlineStr">
        <is>
          <t>Add mix products with production fraction 0 and 1.</t>
        </is>
      </c>
      <c r="E53" s="25" t="inlineStr">
        <is>
          <t>Fraction 0 = fully purchased, fraction 1 = fully produced; no dead fields.</t>
        </is>
      </c>
      <c r="F53" s="21" t="inlineStr">
        <is>
          <t>GT-B</t>
        </is>
      </c>
      <c r="G53" s="28" t="inlineStr">
        <is>
          <t>TODO</t>
        </is>
      </c>
      <c r="H53" s="17" t="inlineStr"/>
      <c r="I53" s="17" t="inlineStr"/>
      <c r="J53" s="17" t="inlineStr"/>
      <c r="K53" s="17" t="inlineStr"/>
    </row>
    <row r="54">
      <c r="A54" s="21" t="inlineStr">
        <is>
          <t>D12</t>
        </is>
      </c>
      <c r="B54" s="25" t="inlineStr">
        <is>
          <t>Dynamic products</t>
        </is>
      </c>
      <c r="C54" s="25" t="inlineStr">
        <is>
          <t>Starting stock + safety stock</t>
        </is>
      </c>
      <c r="D54" s="25" t="inlineStr">
        <is>
          <t>Add a product with a starting stock and a safety stock.</t>
        </is>
      </c>
      <c r="E54" s="25" t="inlineStr">
        <is>
          <t>The stock line starts at the starting stock and stays above the safety stock.</t>
        </is>
      </c>
      <c r="F54" s="21" t="inlineStr">
        <is>
          <t>GT-D I3/I4</t>
        </is>
      </c>
      <c r="G54" s="28" t="inlineStr">
        <is>
          <t>TODO</t>
        </is>
      </c>
      <c r="H54" s="17" t="inlineStr"/>
      <c r="I54" s="17" t="inlineStr"/>
      <c r="J54" s="17" t="inlineStr"/>
      <c r="K54" s="17" t="inlineStr"/>
    </row>
    <row r="55">
      <c r="A55" s="21" t="inlineStr">
        <is>
          <t>D13</t>
        </is>
      </c>
      <c r="B55" s="25" t="inlineStr">
        <is>
          <t>Dynamic products</t>
        </is>
      </c>
      <c r="C55" s="25" t="inlineStr">
        <is>
          <t>Delete a component product</t>
        </is>
      </c>
      <c r="D55" s="25" t="inlineStr">
        <is>
          <t>Delete an added product that is used as component of another added product.</t>
        </is>
      </c>
      <c r="E55" s="25" t="inlineStr">
        <is>
          <t>Clean handling (warning / no crash); the dependent planning recalculates.</t>
        </is>
      </c>
      <c r="F55" s="21" t="inlineStr">
        <is>
          <t>UI</t>
        </is>
      </c>
      <c r="G55" s="28" t="inlineStr">
        <is>
          <t>TODO</t>
        </is>
      </c>
      <c r="H55" s="17" t="inlineStr"/>
      <c r="I55" s="17" t="inlineStr"/>
      <c r="J55" s="17" t="inlineStr"/>
      <c r="K55" s="17" t="inlineStr"/>
    </row>
    <row r="56">
      <c r="A56" s="21" t="inlineStr">
        <is>
          <t>D14</t>
        </is>
      </c>
      <c r="B56" s="25" t="inlineStr">
        <is>
          <t>Dynamic products</t>
        </is>
      </c>
      <c r="C56" s="25" t="inlineStr">
        <is>
          <t>Edge: BOM cycle rejected</t>
        </is>
      </c>
      <c r="D56" s="25" t="inlineStr">
        <is>
          <t>Try to make two products that use each other as component (A→B→A).</t>
        </is>
      </c>
      <c r="E56" s="25" t="inlineStr">
        <is>
          <t>The cycle is rejected with a clear message.</t>
        </is>
      </c>
      <c r="F56" s="21" t="inlineStr">
        <is>
          <t>UI</t>
        </is>
      </c>
      <c r="G56" s="28" t="inlineStr">
        <is>
          <t>TODO</t>
        </is>
      </c>
      <c r="H56" s="17" t="inlineStr"/>
      <c r="I56" s="17" t="inlineStr"/>
      <c r="J56" s="17" t="inlineStr"/>
      <c r="K56" s="17" t="inlineStr"/>
    </row>
    <row r="57">
      <c r="A57" s="22" t="inlineStr">
        <is>
          <t>E. Chart analysis</t>
        </is>
      </c>
      <c r="B57" s="23" t="n"/>
      <c r="C57" s="23" t="n"/>
      <c r="D57" s="23" t="n"/>
      <c r="E57" s="23" t="n"/>
      <c r="F57" s="23" t="n"/>
      <c r="G57" s="23" t="n"/>
      <c r="H57" s="23" t="n"/>
      <c r="I57" s="23" t="n"/>
      <c r="J57" s="23" t="n"/>
      <c r="K57" s="24" t="n"/>
    </row>
    <row r="58">
      <c r="A58" s="21" t="inlineStr">
        <is>
          <t>E1</t>
        </is>
      </c>
      <c r="B58" s="25" t="inlineStr">
        <is>
          <t>Chart analysis</t>
        </is>
      </c>
      <c r="C58" s="25" t="inlineStr">
        <is>
          <t>Automatic detection (financial)</t>
        </is>
      </c>
      <c r="D58" s="25" t="inlineStr">
        <is>
          <t>Enlarge the financial chart and click 'Analysis'.</t>
        </is>
      </c>
      <c r="E58" s="25" t="inlineStr">
        <is>
          <t>Panel shows the largest movement with the explaining products; nothing cut off.</t>
        </is>
      </c>
      <c r="F58" s="21" t="inlineStr">
        <is>
          <t>UI</t>
        </is>
      </c>
      <c r="G58" s="28" t="inlineStr">
        <is>
          <t>TODO</t>
        </is>
      </c>
      <c r="H58" s="17" t="inlineStr"/>
      <c r="I58" s="17" t="inlineStr"/>
      <c r="J58" s="17" t="inlineStr"/>
      <c r="K58" s="17" t="inlineStr"/>
    </row>
    <row r="59">
      <c r="A59" s="21" t="inlineStr">
        <is>
          <t>E2</t>
        </is>
      </c>
      <c r="B59" s="25" t="inlineStr">
        <is>
          <t>Chart analysis</t>
        </is>
      </c>
      <c r="C59" s="25" t="inlineStr">
        <is>
          <t>Two points with connector arrow</t>
        </is>
      </c>
      <c r="D59" s="25" t="inlineStr">
        <is>
          <t>Click two points in the chart.</t>
        </is>
      </c>
      <c r="E59" s="25" t="inlineStr">
        <is>
          <t>An arrow connects the points; the panel explains exactly THAT difference; contributions add up to ~the difference.</t>
        </is>
      </c>
      <c r="F59" s="21" t="inlineStr">
        <is>
          <t>GT-D</t>
        </is>
      </c>
      <c r="G59" s="28" t="inlineStr">
        <is>
          <t>TODO</t>
        </is>
      </c>
      <c r="H59" s="17" t="inlineStr"/>
      <c r="I59" s="17" t="inlineStr"/>
      <c r="J59" s="17" t="inlineStr"/>
      <c r="K59" s="17" t="inlineStr"/>
    </row>
    <row r="60">
      <c r="A60" s="21" t="inlineStr">
        <is>
          <t>E3</t>
        </is>
      </c>
      <c r="B60" s="25" t="inlineStr">
        <is>
          <t>Chart analysis</t>
        </is>
      </c>
      <c r="C60" s="25" t="inlineStr">
        <is>
          <t>Volume chart</t>
        </is>
      </c>
      <c r="D60" s="25" t="inlineStr">
        <is>
          <t>Analyse a movement in the volume chart.</t>
        </is>
      </c>
      <c r="E60" s="25" t="inlineStr">
        <is>
          <t>Same experience; contributions in units instead of euros.</t>
        </is>
      </c>
      <c r="F60" s="21" t="inlineStr">
        <is>
          <t>UI</t>
        </is>
      </c>
      <c r="G60" s="28" t="inlineStr">
        <is>
          <t>TODO</t>
        </is>
      </c>
      <c r="H60" s="17" t="inlineStr"/>
      <c r="I60" s="17" t="inlineStr"/>
      <c r="J60" s="17" t="inlineStr"/>
      <c r="K60" s="17" t="inlineStr"/>
    </row>
    <row r="61">
      <c r="A61" s="21" t="inlineStr">
        <is>
          <t>E4</t>
        </is>
      </c>
      <c r="B61" s="25" t="inlineStr">
        <is>
          <t>Chart analysis</t>
        </is>
      </c>
      <c r="C61" s="25" t="inlineStr">
        <is>
          <t>FTE drill to products</t>
        </is>
      </c>
      <c r="D61" s="25" t="inlineStr">
        <is>
          <t>Analyse the FTE chart and click through.</t>
        </is>
      </c>
      <c r="E61" s="25" t="inlineStr">
        <is>
          <t>You see which products cause the FTE change.</t>
        </is>
      </c>
      <c r="F61" s="21" t="inlineStr">
        <is>
          <t>UI</t>
        </is>
      </c>
      <c r="G61" s="28" t="inlineStr">
        <is>
          <t>TODO</t>
        </is>
      </c>
      <c r="H61" s="17" t="inlineStr"/>
      <c r="I61" s="17" t="inlineStr"/>
      <c r="J61" s="17" t="inlineStr"/>
      <c r="K61" s="17" t="inlineStr"/>
    </row>
    <row r="62">
      <c r="A62" s="21" t="inlineStr">
        <is>
          <t>E5</t>
        </is>
      </c>
      <c r="B62" s="25" t="inlineStr">
        <is>
          <t>Chart analysis</t>
        </is>
      </c>
      <c r="C62" s="25" t="inlineStr">
        <is>
          <t>Machine chart analysis</t>
        </is>
      </c>
      <c r="D62" s="25" t="inlineStr">
        <is>
          <t>Open the analysis on a machine/capacity chart.</t>
        </is>
      </c>
      <c r="E62" s="25" t="inlineStr">
        <is>
          <t>Working analysis with hours per product.</t>
        </is>
      </c>
      <c r="F62" s="21" t="inlineStr">
        <is>
          <t>UI</t>
        </is>
      </c>
      <c r="G62" s="28" t="inlineStr">
        <is>
          <t>TODO</t>
        </is>
      </c>
      <c r="H62" s="17" t="inlineStr"/>
      <c r="I62" s="17" t="inlineStr"/>
      <c r="J62" s="17" t="inlineStr"/>
      <c r="K62" s="17" t="inlineStr"/>
    </row>
    <row r="63">
      <c r="A63" s="21" t="inlineStr">
        <is>
          <t>E6</t>
        </is>
      </c>
      <c r="B63" s="25" t="inlineStr">
        <is>
          <t>Chart analysis</t>
        </is>
      </c>
      <c r="C63" s="25" t="inlineStr">
        <is>
          <t>Inventory quality analysis</t>
        </is>
      </c>
      <c r="D63" s="25" t="inlineStr">
        <is>
          <t>Open the analysis on the inventory quality chart.</t>
        </is>
      </c>
      <c r="E63" s="25" t="inlineStr">
        <is>
          <t>Logical split by categories/products.</t>
        </is>
      </c>
      <c r="F63" s="21" t="inlineStr">
        <is>
          <t>UI</t>
        </is>
      </c>
      <c r="G63" s="28" t="inlineStr">
        <is>
          <t>TODO</t>
        </is>
      </c>
      <c r="H63" s="17" t="inlineStr"/>
      <c r="I63" s="17" t="inlineStr"/>
      <c r="J63" s="17" t="inlineStr"/>
      <c r="K63" s="17" t="inlineStr"/>
    </row>
    <row r="64">
      <c r="A64" s="21" t="inlineStr">
        <is>
          <t>E7</t>
        </is>
      </c>
      <c r="B64" s="25" t="inlineStr">
        <is>
          <t>Chart analysis</t>
        </is>
      </c>
      <c r="C64" s="25" t="inlineStr">
        <is>
          <t>Top movers to table</t>
        </is>
      </c>
      <c r="D64" s="25" t="inlineStr">
        <is>
          <t>Click 'to table' on the top movers.</t>
        </is>
      </c>
      <c r="E64" s="25" t="inlineStr">
        <is>
          <t>The planning table filters on those products; you can change a value directly.</t>
        </is>
      </c>
      <c r="F64" s="21" t="inlineStr">
        <is>
          <t>UI</t>
        </is>
      </c>
      <c r="G64" s="28" t="inlineStr">
        <is>
          <t>TODO</t>
        </is>
      </c>
      <c r="H64" s="17" t="inlineStr"/>
      <c r="I64" s="17" t="inlineStr"/>
      <c r="J64" s="17" t="inlineStr"/>
      <c r="K64" s="17" t="inlineStr"/>
    </row>
    <row r="65">
      <c r="A65" s="21" t="inlineStr">
        <is>
          <t>E8</t>
        </is>
      </c>
      <c r="B65" s="25" t="inlineStr">
        <is>
          <t>Chart analysis</t>
        </is>
      </c>
      <c r="C65" s="25" t="inlineStr">
        <is>
          <t>Movers editable (input error)</t>
        </is>
      </c>
      <c r="D65" s="25" t="inlineStr">
        <is>
          <t>Change a value via the top-mover table.</t>
        </is>
      </c>
      <c r="E65" s="25" t="inlineStr">
        <is>
          <t>The change cascades normally; chart and panel move along.</t>
        </is>
      </c>
      <c r="F65" s="21" t="inlineStr">
        <is>
          <t>GT-C M09</t>
        </is>
      </c>
      <c r="G65" s="28" t="inlineStr">
        <is>
          <t>TODO</t>
        </is>
      </c>
      <c r="H65" s="17" t="inlineStr"/>
      <c r="I65" s="17" t="inlineStr"/>
      <c r="J65" s="17" t="inlineStr"/>
      <c r="K65" s="17" t="inlineStr"/>
    </row>
    <row r="66">
      <c r="A66" s="21" t="inlineStr">
        <is>
          <t>E9</t>
        </is>
      </c>
      <c r="B66" s="25" t="inlineStr">
        <is>
          <t>Chart analysis</t>
        </is>
      </c>
      <c r="C66" s="25" t="inlineStr">
        <is>
          <t>Excel export of the analysis</t>
        </is>
      </c>
      <c r="D66" s="25" t="inlineStr">
        <is>
          <t>Export the analysis.</t>
        </is>
      </c>
      <c r="E66" s="25" t="inlineStr">
        <is>
          <t>Excel file with the same numbers as the panel.</t>
        </is>
      </c>
      <c r="F66" s="21" t="inlineStr">
        <is>
          <t>GT-E</t>
        </is>
      </c>
      <c r="G66" s="28" t="inlineStr">
        <is>
          <t>TODO</t>
        </is>
      </c>
      <c r="H66" s="17" t="inlineStr"/>
      <c r="I66" s="17" t="inlineStr"/>
      <c r="J66" s="17" t="inlineStr"/>
      <c r="K66" s="17" t="inlineStr"/>
    </row>
    <row r="67">
      <c r="A67" s="21" t="inlineStr">
        <is>
          <t>E10</t>
        </is>
      </c>
      <c r="B67" s="25" t="inlineStr">
        <is>
          <t>Chart analysis</t>
        </is>
      </c>
      <c r="C67" s="25" t="inlineStr">
        <is>
          <t>Edge: identical points</t>
        </is>
      </c>
      <c r="D67" s="25" t="inlineStr">
        <is>
          <t>Select two points with (almost) the same value.</t>
        </is>
      </c>
      <c r="E67" s="25" t="inlineStr">
        <is>
          <t>The panel reports 'no meaningful difference' instead of an empty/wrong breakdown.</t>
        </is>
      </c>
      <c r="F67" s="21" t="inlineStr">
        <is>
          <t>UI</t>
        </is>
      </c>
      <c r="G67" s="28" t="inlineStr">
        <is>
          <t>TODO</t>
        </is>
      </c>
      <c r="H67" s="17" t="inlineStr"/>
      <c r="I67" s="17" t="inlineStr"/>
      <c r="J67" s="17" t="inlineStr"/>
      <c r="K67" s="17" t="inlineStr"/>
    </row>
    <row r="68">
      <c r="A68" s="21" t="inlineStr">
        <is>
          <t>E11</t>
        </is>
      </c>
      <c r="B68" s="25" t="inlineStr">
        <is>
          <t>Chart analysis</t>
        </is>
      </c>
      <c r="C68" s="25" t="inlineStr">
        <is>
          <t>Edge: downward movement</t>
        </is>
      </c>
      <c r="D68" s="25" t="inlineStr">
        <is>
          <t>Analyse a clear decrease.</t>
        </is>
      </c>
      <c r="E68" s="25" t="inlineStr">
        <is>
          <t>Contributions are negative and explain the decrease; signs are right.</t>
        </is>
      </c>
      <c r="F68" s="21" t="inlineStr">
        <is>
          <t>UI</t>
        </is>
      </c>
      <c r="G68" s="28" t="inlineStr">
        <is>
          <t>TODO</t>
        </is>
      </c>
      <c r="H68" s="17" t="inlineStr"/>
      <c r="I68" s="17" t="inlineStr"/>
      <c r="J68" s="17" t="inlineStr"/>
      <c r="K68" s="17" t="inlineStr"/>
    </row>
    <row r="69">
      <c r="A69" s="21" t="inlineStr">
        <is>
          <t>E12</t>
        </is>
      </c>
      <c r="B69" s="25" t="inlineStr">
        <is>
          <t>Chart analysis</t>
        </is>
      </c>
      <c r="C69" s="25" t="inlineStr">
        <is>
          <t>Edge: analysis after an edit</t>
        </is>
      </c>
      <c r="D69" s="25" t="inlineStr">
        <is>
          <t>Make an edit and reopen the analysis.</t>
        </is>
      </c>
      <c r="E69" s="25" t="inlineStr">
        <is>
          <t>The panel uses the new numbers, not the old ones.</t>
        </is>
      </c>
      <c r="F69" s="21" t="inlineStr">
        <is>
          <t>GT-C M10</t>
        </is>
      </c>
      <c r="G69" s="28" t="inlineStr">
        <is>
          <t>TODO</t>
        </is>
      </c>
      <c r="H69" s="17" t="inlineStr"/>
      <c r="I69" s="17" t="inlineStr"/>
      <c r="J69" s="17" t="inlineStr"/>
      <c r="K69" s="17" t="inlineStr"/>
    </row>
    <row r="70">
      <c r="A70" s="21" t="inlineStr">
        <is>
          <t>E13</t>
        </is>
      </c>
      <c r="B70" s="25" t="inlineStr">
        <is>
          <t>Chart analysis</t>
        </is>
      </c>
      <c r="C70" s="25" t="inlineStr">
        <is>
          <t>Analysis under active group</t>
        </is>
      </c>
      <c r="D70" s="25" t="inlineStr">
        <is>
          <t>Run an analysis while a material group is active.</t>
        </is>
      </c>
      <c r="E70" s="25" t="inlineStr">
        <is>
          <t>The analysis works on the scoped numbers; contributions reconcile to the scoped total.</t>
        </is>
      </c>
      <c r="F70" s="21" t="inlineStr">
        <is>
          <t>UI</t>
        </is>
      </c>
      <c r="G70" s="28" t="inlineStr">
        <is>
          <t>TODO</t>
        </is>
      </c>
      <c r="H70" s="17" t="inlineStr"/>
      <c r="I70" s="17" t="inlineStr"/>
      <c r="J70" s="17" t="inlineStr"/>
      <c r="K70" s="17" t="inlineStr"/>
    </row>
    <row r="71">
      <c r="A71" s="21" t="inlineStr">
        <is>
          <t>E14</t>
        </is>
      </c>
      <c r="B71" s="25" t="inlineStr">
        <is>
          <t>Chart analysis</t>
        </is>
      </c>
      <c r="C71" s="25" t="inlineStr">
        <is>
          <t>Several charts in a row</t>
        </is>
      </c>
      <c r="D71" s="25" t="inlineStr">
        <is>
          <t>Analyse 3 different charts one after another without reloading.</t>
        </is>
      </c>
      <c r="E71" s="25" t="inlineStr">
        <is>
          <t>Each analysis is correct and independent; no leftovers of the previous one.</t>
        </is>
      </c>
      <c r="F71" s="21" t="inlineStr">
        <is>
          <t>UI</t>
        </is>
      </c>
      <c r="G71" s="28" t="inlineStr">
        <is>
          <t>TODO</t>
        </is>
      </c>
      <c r="H71" s="17" t="inlineStr"/>
      <c r="I71" s="17" t="inlineStr"/>
      <c r="J71" s="17" t="inlineStr"/>
      <c r="K71" s="17" t="inlineStr"/>
    </row>
    <row r="72">
      <c r="A72" s="21" t="inlineStr">
        <is>
          <t>E15</t>
        </is>
      </c>
      <c r="B72" s="25" t="inlineStr">
        <is>
          <t>Chart analysis</t>
        </is>
      </c>
      <c r="C72" s="25" t="inlineStr">
        <is>
          <t>ROCE chart analysis</t>
        </is>
      </c>
      <c r="D72" s="25" t="inlineStr">
        <is>
          <t>Open the analysis on the ROCE chart.</t>
        </is>
      </c>
      <c r="E72" s="25" t="inlineStr">
        <is>
          <t>Working analysis; the movement is explained logically (ratio metric).</t>
        </is>
      </c>
      <c r="F72" s="21" t="inlineStr">
        <is>
          <t>UI</t>
        </is>
      </c>
      <c r="G72" s="28" t="inlineStr">
        <is>
          <t>TODO</t>
        </is>
      </c>
      <c r="H72" s="17" t="inlineStr"/>
      <c r="I72" s="17" t="inlineStr"/>
      <c r="J72" s="17" t="inlineStr"/>
      <c r="K72" s="17" t="inlineStr"/>
    </row>
    <row r="73">
      <c r="A73" s="21" t="inlineStr">
        <is>
          <t>E16</t>
        </is>
      </c>
      <c r="B73" s="25" t="inlineStr">
        <is>
          <t>Chart analysis</t>
        </is>
      </c>
      <c r="C73" s="25" t="inlineStr">
        <is>
          <t>Export contains all contributors</t>
        </is>
      </c>
      <c r="D73" s="25" t="inlineStr">
        <is>
          <t>Export an analysis with several contributors and open the file.</t>
        </is>
      </c>
      <c r="E73" s="25" t="inlineStr">
        <is>
          <t>All contributors from the panel are in the Excel file with the right deltas.</t>
        </is>
      </c>
      <c r="F73" s="21" t="inlineStr">
        <is>
          <t>GT-E</t>
        </is>
      </c>
      <c r="G73" s="28" t="inlineStr">
        <is>
          <t>TODO</t>
        </is>
      </c>
      <c r="H73" s="17" t="inlineStr"/>
      <c r="I73" s="17" t="inlineStr"/>
      <c r="J73" s="17" t="inlineStr"/>
      <c r="K73" s="17" t="inlineStr"/>
    </row>
    <row r="74">
      <c r="A74" s="21" t="inlineStr">
        <is>
          <t>E17</t>
        </is>
      </c>
      <c r="B74" s="25" t="inlineStr">
        <is>
          <t>Chart analysis</t>
        </is>
      </c>
      <c r="C74" s="25" t="inlineStr">
        <is>
          <t>Save as group from analysis</t>
        </is>
      </c>
      <c r="D74" s="25" t="inlineStr">
        <is>
          <t>Click 'Save as group' on the top movers of an analysis.</t>
        </is>
      </c>
      <c r="E74" s="25" t="inlineStr">
        <is>
          <t>A material group with exactly those products is created.</t>
        </is>
      </c>
      <c r="F74" s="21" t="inlineStr">
        <is>
          <t>UI</t>
        </is>
      </c>
      <c r="G74" s="28" t="inlineStr">
        <is>
          <t>TODO</t>
        </is>
      </c>
      <c r="H74" s="17" t="inlineStr"/>
      <c r="I74" s="17" t="inlineStr"/>
      <c r="J74" s="17" t="inlineStr"/>
      <c r="K74" s="17" t="inlineStr"/>
    </row>
    <row r="75">
      <c r="A75" s="21" t="inlineStr">
        <is>
          <t>E18</t>
        </is>
      </c>
      <c r="B75" s="25" t="inlineStr">
        <is>
          <t>Chart analysis</t>
        </is>
      </c>
      <c r="C75" s="25" t="inlineStr">
        <is>
          <t>Analysis drill and back</t>
        </is>
      </c>
      <c r="D75" s="25" t="inlineStr">
        <is>
          <t>Click through on a product in the analysis and back.</t>
        </is>
      </c>
      <c r="E75" s="25" t="inlineStr">
        <is>
          <t>The drill shows product detail; 'back' returns cleanly to the chart analysis.</t>
        </is>
      </c>
      <c r="F75" s="21" t="inlineStr">
        <is>
          <t>UI</t>
        </is>
      </c>
      <c r="G75" s="28" t="inlineStr">
        <is>
          <t>TODO</t>
        </is>
      </c>
      <c r="H75" s="17" t="inlineStr"/>
      <c r="I75" s="17" t="inlineStr"/>
      <c r="J75" s="17" t="inlineStr"/>
      <c r="K75" s="17" t="inlineStr"/>
    </row>
    <row r="76">
      <c r="A76" s="22" t="inlineStr">
        <is>
          <t>F. Material groups</t>
        </is>
      </c>
      <c r="B76" s="23" t="n"/>
      <c r="C76" s="23" t="n"/>
      <c r="D76" s="23" t="n"/>
      <c r="E76" s="23" t="n"/>
      <c r="F76" s="23" t="n"/>
      <c r="G76" s="23" t="n"/>
      <c r="H76" s="23" t="n"/>
      <c r="I76" s="23" t="n"/>
      <c r="J76" s="23" t="n"/>
      <c r="K76" s="24" t="n"/>
    </row>
    <row r="77">
      <c r="A77" s="21" t="inlineStr">
        <is>
          <t>F1</t>
        </is>
      </c>
      <c r="B77" s="25" t="inlineStr">
        <is>
          <t>Material groups</t>
        </is>
      </c>
      <c r="C77" s="25" t="inlineStr">
        <is>
          <t>Save group from analysis</t>
        </is>
      </c>
      <c r="D77" s="25" t="inlineStr">
        <is>
          <t>Save a group (e.g. 'top 10 movers 04-26→06-26').</t>
        </is>
      </c>
      <c r="E77" s="25" t="inlineStr">
        <is>
          <t>The group appears in the dropdown above the table.</t>
        </is>
      </c>
      <c r="F77" s="21" t="inlineStr">
        <is>
          <t>UI</t>
        </is>
      </c>
      <c r="G77" s="28" t="inlineStr">
        <is>
          <t>TODO</t>
        </is>
      </c>
      <c r="H77" s="17" t="inlineStr"/>
      <c r="I77" s="17" t="inlineStr"/>
      <c r="J77" s="17" t="inlineStr"/>
      <c r="K77" s="17" t="inlineStr"/>
    </row>
    <row r="78">
      <c r="A78" s="21" t="inlineStr">
        <is>
          <t>F2</t>
        </is>
      </c>
      <c r="B78" s="25" t="inlineStr">
        <is>
          <t>Material groups</t>
        </is>
      </c>
      <c r="C78" s="25" t="inlineStr">
        <is>
          <t>Save a second group</t>
        </is>
      </c>
      <c r="D78" s="25" t="inlineStr">
        <is>
          <t>Save a second, different group.</t>
        </is>
      </c>
      <c r="E78" s="25" t="inlineStr">
        <is>
          <t>Both groups are in the dropdown; selectable separately.</t>
        </is>
      </c>
      <c r="F78" s="21" t="inlineStr">
        <is>
          <t>UI</t>
        </is>
      </c>
      <c r="G78" s="28" t="inlineStr">
        <is>
          <t>TODO</t>
        </is>
      </c>
      <c r="H78" s="17" t="inlineStr"/>
      <c r="I78" s="17" t="inlineStr"/>
      <c r="J78" s="17" t="inlineStr"/>
      <c r="K78" s="17" t="inlineStr"/>
    </row>
    <row r="79">
      <c r="A79" s="21" t="inlineStr">
        <is>
          <t>F3</t>
        </is>
      </c>
      <c r="B79" s="25" t="inlineStr">
        <is>
          <t>Material groups</t>
        </is>
      </c>
      <c r="C79" s="25" t="inlineStr">
        <is>
          <t>Combine with line-type filter</t>
        </is>
      </c>
      <c r="D79" s="25" t="inlineStr">
        <is>
          <t>Select a group and then filter on line types.</t>
        </is>
      </c>
      <c r="E79" s="25" t="inlineStr">
        <is>
          <t>Both filters work together; only the chosen lines of the group materials.</t>
        </is>
      </c>
      <c r="F79" s="21" t="inlineStr">
        <is>
          <t>UI</t>
        </is>
      </c>
      <c r="G79" s="28" t="inlineStr">
        <is>
          <t>TODO</t>
        </is>
      </c>
      <c r="H79" s="17" t="inlineStr"/>
      <c r="I79" s="17" t="inlineStr"/>
      <c r="J79" s="17" t="inlineStr"/>
      <c r="K79" s="17" t="inlineStr"/>
    </row>
    <row r="80">
      <c r="A80" s="21" t="inlineStr">
        <is>
          <t>F4</t>
        </is>
      </c>
      <c r="B80" s="25" t="inlineStr">
        <is>
          <t>Material groups</t>
        </is>
      </c>
      <c r="C80" s="25" t="inlineStr">
        <is>
          <t>Back to 'All groups' (bug check)</t>
        </is>
      </c>
      <c r="D80" s="25" t="inlineStr">
        <is>
          <t>Choose 'All groups' in the dropdown again.</t>
        </is>
      </c>
      <c r="E80" s="25" t="inlineStr">
        <is>
          <t>ALL rows come back; you are not stuck in the group view.</t>
        </is>
      </c>
      <c r="F80" s="21" t="inlineStr">
        <is>
          <t>UI</t>
        </is>
      </c>
      <c r="G80" s="28" t="inlineStr">
        <is>
          <t>TODO</t>
        </is>
      </c>
      <c r="H80" s="17" t="inlineStr"/>
      <c r="I80" s="17" t="inlineStr"/>
      <c r="J80" s="17" t="inlineStr"/>
      <c r="K80" s="17" t="inlineStr"/>
    </row>
    <row r="81">
      <c r="A81" s="21" t="inlineStr">
        <is>
          <t>F5</t>
        </is>
      </c>
      <c r="B81" s="25" t="inlineStr">
        <is>
          <t>Material groups</t>
        </is>
      </c>
      <c r="C81" s="25" t="inlineStr">
        <is>
          <t>Switch between two groups</t>
        </is>
      </c>
      <c r="D81" s="25" t="inlineStr">
        <is>
          <t>Switch directly from group 1 to group 2.</t>
        </is>
      </c>
      <c r="E81" s="25" t="inlineStr">
        <is>
          <t>The table immediately shows the materials of group 2, no mix.</t>
        </is>
      </c>
      <c r="F81" s="21" t="inlineStr">
        <is>
          <t>UI</t>
        </is>
      </c>
      <c r="G81" s="28" t="inlineStr">
        <is>
          <t>TODO</t>
        </is>
      </c>
      <c r="H81" s="17" t="inlineStr"/>
      <c r="I81" s="17" t="inlineStr"/>
      <c r="J81" s="17" t="inlineStr"/>
      <c r="K81" s="17" t="inlineStr"/>
    </row>
    <row r="82">
      <c r="A82" s="21" t="inlineStr">
        <is>
          <t>F6</t>
        </is>
      </c>
      <c r="B82" s="25" t="inlineStr">
        <is>
          <t>Material groups</t>
        </is>
      </c>
      <c r="C82" s="25" t="inlineStr">
        <is>
          <t>Make active (scoping)</t>
        </is>
      </c>
      <c r="D82" s="25" t="inlineStr">
        <is>
          <t>Activate a group.</t>
        </is>
      </c>
      <c r="E82" s="25" t="inlineStr">
        <is>
          <t>Banner visible; dashboard shows the group's contribution margin; machines show the group hours; dropdown shows '· active'.</t>
        </is>
      </c>
      <c r="F82" s="21" t="inlineStr">
        <is>
          <t>UI</t>
        </is>
      </c>
      <c r="G82" s="28" t="inlineStr">
        <is>
          <t>TODO</t>
        </is>
      </c>
      <c r="H82" s="17" t="inlineStr"/>
      <c r="I82" s="17" t="inlineStr"/>
      <c r="J82" s="17" t="inlineStr"/>
      <c r="K82" s="17" t="inlineStr"/>
    </row>
    <row r="83">
      <c r="A83" s="21" t="inlineStr">
        <is>
          <t>F7</t>
        </is>
      </c>
      <c r="B83" s="25" t="inlineStr">
        <is>
          <t>Material groups</t>
        </is>
      </c>
      <c r="C83" s="25" t="inlineStr">
        <is>
          <t>Contribution margin correct</t>
        </is>
      </c>
      <c r="D83" s="25" t="inlineStr">
        <is>
          <t>Check the scoped financial numbers.</t>
        </is>
      </c>
      <c r="E83" s="25" t="inlineStr">
        <is>
          <t>Contribution margin = revenue − raw material − machine cost; fixed costs / EBIT / ROCE deliberately omitted.</t>
        </is>
      </c>
      <c r="F83" s="21" t="inlineStr">
        <is>
          <t>GT-D</t>
        </is>
      </c>
      <c r="G83" s="28" t="inlineStr">
        <is>
          <t>TODO</t>
        </is>
      </c>
      <c r="H83" s="17" t="inlineStr"/>
      <c r="I83" s="17" t="inlineStr"/>
      <c r="J83" s="17" t="inlineStr"/>
      <c r="K83" s="17" t="inlineStr"/>
    </row>
    <row r="84">
      <c r="A84" s="21" t="inlineStr">
        <is>
          <t>F8</t>
        </is>
      </c>
      <c r="B84" s="25" t="inlineStr">
        <is>
          <t>Material groups</t>
        </is>
      </c>
      <c r="C84" s="25" t="inlineStr">
        <is>
          <t>FTE / capacity stay plant-wide</t>
        </is>
      </c>
      <c r="D84" s="25" t="inlineStr">
        <is>
          <t>Look at FTE and capacity under an active group.</t>
        </is>
      </c>
      <c r="E84" s="25" t="inlineStr">
        <is>
          <t>They stay plant-wide (fairness rule); only revenue/cost/volume are scoped.</t>
        </is>
      </c>
      <c r="F84" s="21" t="inlineStr">
        <is>
          <t>UI</t>
        </is>
      </c>
      <c r="G84" s="28" t="inlineStr">
        <is>
          <t>TODO</t>
        </is>
      </c>
      <c r="H84" s="17" t="inlineStr"/>
      <c r="I84" s="17" t="inlineStr"/>
      <c r="J84" s="17" t="inlineStr"/>
      <c r="K84" s="17" t="inlineStr"/>
    </row>
    <row r="85">
      <c r="A85" s="21" t="inlineStr">
        <is>
          <t>F9</t>
        </is>
      </c>
      <c r="B85" s="25" t="inlineStr">
        <is>
          <t>Material groups</t>
        </is>
      </c>
      <c r="C85" s="25" t="inlineStr">
        <is>
          <t>Analysis under active group</t>
        </is>
      </c>
      <c r="D85" s="25" t="inlineStr">
        <is>
          <t>Run a chart analysis with the group active.</t>
        </is>
      </c>
      <c r="E85" s="25" t="inlineStr">
        <is>
          <t>Scoped labels known; contributions reconcile to the scoped total.</t>
        </is>
      </c>
      <c r="F85" s="21" t="inlineStr">
        <is>
          <t>UI</t>
        </is>
      </c>
      <c r="G85" s="28" t="inlineStr">
        <is>
          <t>TODO</t>
        </is>
      </c>
      <c r="H85" s="17" t="inlineStr"/>
      <c r="I85" s="17" t="inlineStr"/>
      <c r="J85" s="17" t="inlineStr"/>
      <c r="K85" s="17" t="inlineStr"/>
    </row>
    <row r="86">
      <c r="A86" s="21" t="inlineStr">
        <is>
          <t>F10</t>
        </is>
      </c>
      <c r="B86" s="25" t="inlineStr">
        <is>
          <t>Material groups</t>
        </is>
      </c>
      <c r="C86" s="25" t="inlineStr">
        <is>
          <t>Group belongs to the instance</t>
        </is>
      </c>
      <c r="D86" s="25" t="inlineStr">
        <is>
          <t>With an active group switch to the other instance and back.</t>
        </is>
      </c>
      <c r="E86" s="25" t="inlineStr">
        <is>
          <t>The other instance does not know the group and is unscoped; back, the group is still active.</t>
        </is>
      </c>
      <c r="F86" s="21" t="inlineStr">
        <is>
          <t>UI</t>
        </is>
      </c>
      <c r="G86" s="28" t="inlineStr">
        <is>
          <t>TODO</t>
        </is>
      </c>
      <c r="H86" s="17" t="inlineStr"/>
      <c r="I86" s="17" t="inlineStr"/>
      <c r="J86" s="17" t="inlineStr"/>
      <c r="K86" s="17" t="inlineStr"/>
    </row>
    <row r="87">
      <c r="A87" s="21" t="inlineStr">
        <is>
          <t>F11</t>
        </is>
      </c>
      <c r="B87" s="25" t="inlineStr">
        <is>
          <t>Material groups</t>
        </is>
      </c>
      <c r="C87" s="25" t="inlineStr">
        <is>
          <t>Active group survives restart</t>
        </is>
      </c>
      <c r="D87" s="25" t="inlineStr">
        <is>
          <t>Restart the app with a group active.</t>
        </is>
      </c>
      <c r="E87" s="25" t="inlineStr">
        <is>
          <t>After warm-up the group is still active (banner + scoped numbers).</t>
        </is>
      </c>
      <c r="F87" s="21" t="inlineStr">
        <is>
          <t>UI</t>
        </is>
      </c>
      <c r="G87" s="28" t="inlineStr">
        <is>
          <t>TODO</t>
        </is>
      </c>
      <c r="H87" s="17" t="inlineStr"/>
      <c r="I87" s="17" t="inlineStr"/>
      <c r="J87" s="17" t="inlineStr"/>
      <c r="K87" s="17" t="inlineStr"/>
    </row>
    <row r="88">
      <c r="A88" s="21" t="inlineStr">
        <is>
          <t>F12</t>
        </is>
      </c>
      <c r="B88" s="25" t="inlineStr">
        <is>
          <t>Material groups</t>
        </is>
      </c>
      <c r="C88" s="25" t="inlineStr">
        <is>
          <t>Empty intersection</t>
        </is>
      </c>
      <c r="D88" s="25" t="inlineStr">
        <is>
          <t>With an active group filter on a line type without group material.</t>
        </is>
      </c>
      <c r="E88" s="25" t="inlineStr">
        <is>
          <t>Clean explanation + button 'Restore filters'; no silent empty table.</t>
        </is>
      </c>
      <c r="F88" s="21" t="inlineStr">
        <is>
          <t>UI</t>
        </is>
      </c>
      <c r="G88" s="28" t="inlineStr">
        <is>
          <t>TODO</t>
        </is>
      </c>
      <c r="H88" s="17" t="inlineStr"/>
      <c r="I88" s="17" t="inlineStr"/>
      <c r="J88" s="17" t="inlineStr"/>
      <c r="K88" s="17" t="inlineStr"/>
    </row>
    <row r="89">
      <c r="A89" s="21" t="inlineStr">
        <is>
          <t>F13</t>
        </is>
      </c>
      <c r="B89" s="25" t="inlineStr">
        <is>
          <t>Material groups</t>
        </is>
      </c>
      <c r="C89" s="25" t="inlineStr">
        <is>
          <t>Deactivate</t>
        </is>
      </c>
      <c r="D89" s="25" t="inlineStr">
        <is>
          <t>Switch the group off via 'All groups'.</t>
        </is>
      </c>
      <c r="E89" s="25" t="inlineStr">
        <is>
          <t>Banner gone; dashboard and machines plant-wide again.</t>
        </is>
      </c>
      <c r="F89" s="21" t="inlineStr">
        <is>
          <t>UI</t>
        </is>
      </c>
      <c r="G89" s="28" t="inlineStr">
        <is>
          <t>TODO</t>
        </is>
      </c>
      <c r="H89" s="17" t="inlineStr"/>
      <c r="I89" s="17" t="inlineStr"/>
      <c r="J89" s="17" t="inlineStr"/>
      <c r="K89" s="17" t="inlineStr"/>
    </row>
    <row r="90">
      <c r="A90" s="21" t="inlineStr">
        <is>
          <t>F14</t>
        </is>
      </c>
      <c r="B90" s="25" t="inlineStr">
        <is>
          <t>Material groups</t>
        </is>
      </c>
      <c r="C90" s="25" t="inlineStr">
        <is>
          <t>Delete group</t>
        </is>
      </c>
      <c r="D90" s="25" t="inlineStr">
        <is>
          <t>Delete a saved group.</t>
        </is>
      </c>
      <c r="E90" s="25" t="inlineStr">
        <is>
          <t>The group disappears from the dropdown; if it was active it is deactivated.</t>
        </is>
      </c>
      <c r="F90" s="21" t="inlineStr">
        <is>
          <t>UI</t>
        </is>
      </c>
      <c r="G90" s="28" t="inlineStr">
        <is>
          <t>TODO</t>
        </is>
      </c>
      <c r="H90" s="17" t="inlineStr"/>
      <c r="I90" s="17" t="inlineStr"/>
      <c r="J90" s="17" t="inlineStr"/>
      <c r="K90" s="17" t="inlineStr"/>
    </row>
    <row r="91">
      <c r="A91" s="21" t="inlineStr">
        <is>
          <t>F15</t>
        </is>
      </c>
      <c r="B91" s="25" t="inlineStr">
        <is>
          <t>Material groups</t>
        </is>
      </c>
      <c r="C91" s="25" t="inlineStr">
        <is>
          <t>Edge: group with a deleted material</t>
        </is>
      </c>
      <c r="D91" s="25" t="inlineStr">
        <is>
          <t>Delete a material/product that is in a group and open the group.</t>
        </is>
      </c>
      <c r="E91" s="25" t="inlineStr">
        <is>
          <t>The group ignores the missing material cleanly (no crash, counter right).</t>
        </is>
      </c>
      <c r="F91" s="21" t="inlineStr">
        <is>
          <t>UI</t>
        </is>
      </c>
      <c r="G91" s="28" t="inlineStr">
        <is>
          <t>TODO</t>
        </is>
      </c>
      <c r="H91" s="17" t="inlineStr"/>
      <c r="I91" s="17" t="inlineStr"/>
      <c r="J91" s="17" t="inlineStr"/>
      <c r="K91" s="17" t="inlineStr"/>
    </row>
    <row r="92">
      <c r="A92" s="21" t="inlineStr">
        <is>
          <t>F16</t>
        </is>
      </c>
      <c r="B92" s="25" t="inlineStr">
        <is>
          <t>Material groups</t>
        </is>
      </c>
      <c r="C92" s="25" t="inlineStr">
        <is>
          <t>Edge: undo under active group</t>
        </is>
      </c>
      <c r="D92" s="25" t="inlineStr">
        <is>
          <t>Make an edit under an active group and undo it.</t>
        </is>
      </c>
      <c r="E92" s="25" t="inlineStr">
        <is>
          <t>Undo restores only the edit; the active group and scoping stay intact.</t>
        </is>
      </c>
      <c r="F92" s="21" t="inlineStr">
        <is>
          <t>GT-C M11</t>
        </is>
      </c>
      <c r="G92" s="28" t="inlineStr">
        <is>
          <t>TODO</t>
        </is>
      </c>
      <c r="H92" s="17" t="inlineStr"/>
      <c r="I92" s="17" t="inlineStr"/>
      <c r="J92" s="17" t="inlineStr"/>
      <c r="K92" s="17" t="inlineStr"/>
    </row>
    <row r="93">
      <c r="A93" s="21" t="inlineStr">
        <is>
          <t>F17</t>
        </is>
      </c>
      <c r="B93" s="25" t="inlineStr">
        <is>
          <t>Material groups</t>
        </is>
      </c>
      <c r="C93" s="25" t="inlineStr">
        <is>
          <t>Edge: save group with current filters</t>
        </is>
      </c>
      <c r="D93" s="25" t="inlineStr">
        <is>
          <t>Filter the table and then save a group.</t>
        </is>
      </c>
      <c r="E93" s="25" t="inlineStr">
        <is>
          <t>The group contains exactly the visible materials at that moment.</t>
        </is>
      </c>
      <c r="F93" s="21" t="inlineStr">
        <is>
          <t>UI</t>
        </is>
      </c>
      <c r="G93" s="28" t="inlineStr">
        <is>
          <t>TODO</t>
        </is>
      </c>
      <c r="H93" s="17" t="inlineStr"/>
      <c r="I93" s="17" t="inlineStr"/>
      <c r="J93" s="17" t="inlineStr"/>
      <c r="K93" s="17" t="inlineStr"/>
    </row>
    <row r="94">
      <c r="A94" s="21" t="inlineStr">
        <is>
          <t>F18</t>
        </is>
      </c>
      <c r="B94" s="25" t="inlineStr">
        <is>
          <t>Material groups</t>
        </is>
      </c>
      <c r="C94" s="25" t="inlineStr">
        <is>
          <t>Export stays plant-wide under group</t>
        </is>
      </c>
      <c r="D94" s="25" t="inlineStr">
        <is>
          <t>Export with an active group.</t>
        </is>
      </c>
      <c r="E94" s="25" t="inlineStr">
        <is>
          <t>The export file contains the whole plant (groups scope the view only).</t>
        </is>
      </c>
      <c r="F94" s="21" t="inlineStr">
        <is>
          <t>GT-E</t>
        </is>
      </c>
      <c r="G94" s="28" t="inlineStr">
        <is>
          <t>TODO</t>
        </is>
      </c>
      <c r="H94" s="17" t="inlineStr"/>
      <c r="I94" s="17" t="inlineStr"/>
      <c r="J94" s="17" t="inlineStr"/>
      <c r="K94" s="17" t="inlineStr"/>
    </row>
    <row r="95">
      <c r="A95" s="21" t="inlineStr">
        <is>
          <t>F19</t>
        </is>
      </c>
      <c r="B95" s="25" t="inlineStr">
        <is>
          <t>Material groups</t>
        </is>
      </c>
      <c r="C95" s="25" t="inlineStr">
        <is>
          <t>Group = whole plant</t>
        </is>
      </c>
      <c r="D95" s="25" t="inlineStr">
        <is>
          <t>Make a group with all materials and activate it.</t>
        </is>
      </c>
      <c r="E95" s="25" t="inlineStr">
        <is>
          <t>The scoped numbers equal the plant-wide numbers.</t>
        </is>
      </c>
      <c r="F95" s="21" t="inlineStr">
        <is>
          <t>GT-D</t>
        </is>
      </c>
      <c r="G95" s="28" t="inlineStr">
        <is>
          <t>TODO</t>
        </is>
      </c>
      <c r="H95" s="17" t="inlineStr"/>
      <c r="I95" s="17" t="inlineStr"/>
      <c r="J95" s="17" t="inlineStr"/>
      <c r="K95" s="17" t="inlineStr"/>
    </row>
    <row r="96">
      <c r="A96" s="21" t="inlineStr">
        <is>
          <t>F20</t>
        </is>
      </c>
      <c r="B96" s="25" t="inlineStr">
        <is>
          <t>Material groups</t>
        </is>
      </c>
      <c r="C96" s="25" t="inlineStr">
        <is>
          <t>Rename group</t>
        </is>
      </c>
      <c r="D96" s="25" t="inlineStr">
        <is>
          <t>Rename a saved group.</t>
        </is>
      </c>
      <c r="E96" s="25" t="inlineStr">
        <is>
          <t>The new name is in the dropdown and persists after restart.</t>
        </is>
      </c>
      <c r="F96" s="21" t="inlineStr">
        <is>
          <t>UI</t>
        </is>
      </c>
      <c r="G96" s="28" t="inlineStr">
        <is>
          <t>TODO</t>
        </is>
      </c>
      <c r="H96" s="17" t="inlineStr"/>
      <c r="I96" s="17" t="inlineStr"/>
      <c r="J96" s="17" t="inlineStr"/>
      <c r="K96" s="17" t="inlineStr"/>
    </row>
    <row r="97">
      <c r="A97" s="21" t="inlineStr">
        <is>
          <t>F21</t>
        </is>
      </c>
      <c r="B97" s="25" t="inlineStr">
        <is>
          <t>Material groups</t>
        </is>
      </c>
      <c r="C97" s="25" t="inlineStr">
        <is>
          <t>Edge: empty group name rejected</t>
        </is>
      </c>
      <c r="D97" s="25" t="inlineStr">
        <is>
          <t>Try to save a group with an empty name.</t>
        </is>
      </c>
      <c r="E97" s="25" t="inlineStr">
        <is>
          <t>Clean error message; no group is created.</t>
        </is>
      </c>
      <c r="F97" s="21" t="inlineStr">
        <is>
          <t>UI</t>
        </is>
      </c>
      <c r="G97" s="28" t="inlineStr">
        <is>
          <t>TODO</t>
        </is>
      </c>
      <c r="H97" s="17" t="inlineStr"/>
      <c r="I97" s="17" t="inlineStr"/>
      <c r="J97" s="17" t="inlineStr"/>
      <c r="K97" s="17" t="inlineStr"/>
    </row>
    <row r="98">
      <c r="A98" s="21" t="inlineStr">
        <is>
          <t>F22</t>
        </is>
      </c>
      <c r="B98" s="25" t="inlineStr">
        <is>
          <t>Material groups</t>
        </is>
      </c>
      <c r="C98" s="25" t="inlineStr">
        <is>
          <t>Group with one material</t>
        </is>
      </c>
      <c r="D98" s="25" t="inlineStr">
        <is>
          <t>Make a group with exactly one material and activate it.</t>
        </is>
      </c>
      <c r="E98" s="25" t="inlineStr">
        <is>
          <t>Scoping works correctly on that one material (no division by zero in the margin).</t>
        </is>
      </c>
      <c r="F98" s="21" t="inlineStr">
        <is>
          <t>UI</t>
        </is>
      </c>
      <c r="G98" s="28" t="inlineStr">
        <is>
          <t>TODO</t>
        </is>
      </c>
      <c r="H98" s="17" t="inlineStr"/>
      <c r="I98" s="17" t="inlineStr"/>
      <c r="J98" s="17" t="inlineStr"/>
      <c r="K98" s="17" t="inlineStr"/>
    </row>
    <row r="99">
      <c r="A99" s="22" t="inlineStr">
        <is>
          <t>G. Machines &amp; capacity</t>
        </is>
      </c>
      <c r="B99" s="23" t="n"/>
      <c r="C99" s="23" t="n"/>
      <c r="D99" s="23" t="n"/>
      <c r="E99" s="23" t="n"/>
      <c r="F99" s="23" t="n"/>
      <c r="G99" s="23" t="n"/>
      <c r="H99" s="23" t="n"/>
      <c r="I99" s="23" t="n"/>
      <c r="J99" s="23" t="n"/>
      <c r="K99" s="24" t="n"/>
    </row>
    <row r="100">
      <c r="A100" s="21" t="inlineStr">
        <is>
          <t>G1</t>
        </is>
      </c>
      <c r="B100" s="25" t="inlineStr">
        <is>
          <t>Machines &amp; capacity</t>
        </is>
      </c>
      <c r="C100" s="25" t="inlineStr">
        <is>
          <t>Adjust OEE</t>
        </is>
      </c>
      <c r="D100" s="25" t="inlineStr">
        <is>
          <t>Change the OEE of one machine.</t>
        </is>
      </c>
      <c r="E100" s="25" t="inlineStr">
        <is>
          <t>Automatic recalculation; utilization in table AND chart consistent.</t>
        </is>
      </c>
      <c r="F100" s="21" t="inlineStr">
        <is>
          <t>GT-B K4</t>
        </is>
      </c>
      <c r="G100" s="28" t="inlineStr">
        <is>
          <t>TODO</t>
        </is>
      </c>
      <c r="H100" s="17" t="inlineStr"/>
      <c r="I100" s="17" t="inlineStr"/>
      <c r="J100" s="17" t="inlineStr"/>
      <c r="K100" s="17" t="inlineStr"/>
    </row>
    <row r="101">
      <c r="A101" s="21" t="inlineStr">
        <is>
          <t>G2</t>
        </is>
      </c>
      <c r="B101" s="25" t="inlineStr">
        <is>
          <t>Machines &amp; capacity</t>
        </is>
      </c>
      <c r="C101" s="25" t="inlineStr">
        <is>
          <t>Target throughput (reverse OEE)</t>
        </is>
      </c>
      <c r="D101" s="25" t="inlineStr">
        <is>
          <t>Use the direct throughput adjustment.</t>
        </is>
      </c>
      <c r="E101" s="25" t="inlineStr">
        <is>
          <t>The OEE is adjusted proportionally to reach the target throughput; recalculation follows.</t>
        </is>
      </c>
      <c r="F101" s="21" t="inlineStr">
        <is>
          <t>GT-B K4</t>
        </is>
      </c>
      <c r="G101" s="28" t="inlineStr">
        <is>
          <t>TODO</t>
        </is>
      </c>
      <c r="H101" s="17" t="inlineStr"/>
      <c r="I101" s="17" t="inlineStr"/>
      <c r="J101" s="17" t="inlineStr"/>
      <c r="K101" s="17" t="inlineStr"/>
    </row>
    <row r="102">
      <c r="A102" s="21" t="inlineStr">
        <is>
          <t>G3</t>
        </is>
      </c>
      <c r="B102" s="25" t="inlineStr">
        <is>
          <t>Machines &amp; capacity</t>
        </is>
      </c>
      <c r="C102" s="25" t="inlineStr">
        <is>
          <t>Machine drill to products</t>
        </is>
      </c>
      <c r="D102" s="25" t="inlineStr">
        <is>
          <t>Click through on a machine.</t>
        </is>
      </c>
      <c r="E102" s="25" t="inlineStr">
        <is>
          <t>You see which products run hours; the sum equals the machine total.</t>
        </is>
      </c>
      <c r="F102" s="21" t="inlineStr">
        <is>
          <t>GT-D I7</t>
        </is>
      </c>
      <c r="G102" s="28" t="inlineStr">
        <is>
          <t>TODO</t>
        </is>
      </c>
      <c r="H102" s="17" t="inlineStr"/>
      <c r="I102" s="17" t="inlineStr"/>
      <c r="J102" s="17" t="inlineStr"/>
      <c r="K102" s="17" t="inlineStr"/>
    </row>
    <row r="103">
      <c r="A103" s="21" t="inlineStr">
        <is>
          <t>G4</t>
        </is>
      </c>
      <c r="B103" s="25" t="inlineStr">
        <is>
          <t>Machines &amp; capacity</t>
        </is>
      </c>
      <c r="C103" s="25" t="inlineStr">
        <is>
          <t>Undo OEE override</t>
        </is>
      </c>
      <c r="D103" s="25" t="inlineStr">
        <is>
          <t>Undo the OEE change (undo/reset).</t>
        </is>
      </c>
      <c r="E103" s="25" t="inlineStr">
        <is>
          <t>Utilization and FTE exactly back to the old values.</t>
        </is>
      </c>
      <c r="F103" s="21" t="inlineStr">
        <is>
          <t>GT-E</t>
        </is>
      </c>
      <c r="G103" s="28" t="inlineStr">
        <is>
          <t>TODO</t>
        </is>
      </c>
      <c r="H103" s="17" t="inlineStr"/>
      <c r="I103" s="17" t="inlineStr"/>
      <c r="J103" s="17" t="inlineStr"/>
      <c r="K103" s="17" t="inlineStr"/>
    </row>
    <row r="104">
      <c r="A104" s="21" t="inlineStr">
        <is>
          <t>G5</t>
        </is>
      </c>
      <c r="B104" s="25" t="inlineStr">
        <is>
          <t>Machines &amp; capacity</t>
        </is>
      </c>
      <c r="C104" s="25" t="inlineStr">
        <is>
          <t>FTE follows capacity</t>
        </is>
      </c>
      <c r="D104" s="25" t="inlineStr">
        <is>
          <t>Compare FTE lines before/after a strong capacity change.</t>
        </is>
      </c>
      <c r="E104" s="25" t="inlineStr">
        <is>
          <t>The FTE requirement moves logically with the hours run.</t>
        </is>
      </c>
      <c r="F104" s="21" t="inlineStr">
        <is>
          <t>GT-B K4</t>
        </is>
      </c>
      <c r="G104" s="28" t="inlineStr">
        <is>
          <t>TODO</t>
        </is>
      </c>
      <c r="H104" s="17" t="inlineStr"/>
      <c r="I104" s="17" t="inlineStr"/>
      <c r="J104" s="17" t="inlineStr"/>
      <c r="K104" s="17" t="inlineStr"/>
    </row>
    <row r="105">
      <c r="A105" s="21" t="inlineStr">
        <is>
          <t>G6</t>
        </is>
      </c>
      <c r="B105" s="25" t="inlineStr">
        <is>
          <t>Machines &amp; capacity</t>
        </is>
      </c>
      <c r="C105" s="25" t="inlineStr">
        <is>
          <t>Capacity override persistent</t>
        </is>
      </c>
      <c r="D105" s="25" t="inlineStr">
        <is>
          <t>Change a capacity cell (L07/L09/L11/L12) and restart the app.</t>
        </is>
      </c>
      <c r="E105" s="25" t="inlineStr">
        <is>
          <t>The override is still there after the restart and the numbers are right.</t>
        </is>
      </c>
      <c r="F105" s="21" t="inlineStr">
        <is>
          <t>GT-E</t>
        </is>
      </c>
      <c r="G105" s="28" t="inlineStr">
        <is>
          <t>TODO</t>
        </is>
      </c>
      <c r="H105" s="17" t="inlineStr"/>
      <c r="I105" s="17" t="inlineStr"/>
      <c r="J105" s="17" t="inlineStr"/>
      <c r="K105" s="17" t="inlineStr"/>
    </row>
    <row r="106">
      <c r="A106" s="21" t="inlineStr">
        <is>
          <t>G7</t>
        </is>
      </c>
      <c r="B106" s="25" t="inlineStr">
        <is>
          <t>Machines &amp; capacity</t>
        </is>
      </c>
      <c r="C106" s="25" t="inlineStr">
        <is>
          <t>Edge: OEE = 0</t>
        </is>
      </c>
      <c r="D106" s="25" t="inlineStr">
        <is>
          <t>Set the OEE of a machine to 0.</t>
        </is>
      </c>
      <c r="E106" s="25" t="inlineStr">
        <is>
          <t>Clean handling (machine effectively out of use or clear message), no division by zero.</t>
        </is>
      </c>
      <c r="F106" s="21" t="inlineStr">
        <is>
          <t>UI</t>
        </is>
      </c>
      <c r="G106" s="28" t="inlineStr">
        <is>
          <t>TODO</t>
        </is>
      </c>
      <c r="H106" s="17" t="inlineStr"/>
      <c r="I106" s="17" t="inlineStr"/>
      <c r="J106" s="17" t="inlineStr"/>
      <c r="K106" s="17" t="inlineStr"/>
    </row>
    <row r="107">
      <c r="A107" s="21" t="inlineStr">
        <is>
          <t>G8</t>
        </is>
      </c>
      <c r="B107" s="25" t="inlineStr">
        <is>
          <t>Machines &amp; capacity</t>
        </is>
      </c>
      <c r="C107" s="25" t="inlineStr">
        <is>
          <t>Edge: unlimited-capacity machine</t>
        </is>
      </c>
      <c r="D107" s="25" t="inlineStr">
        <is>
          <t>Check a machine from the 'unlimited capacity' list.</t>
        </is>
      </c>
      <c r="E107" s="25" t="inlineStr">
        <is>
          <t>It is never shown as bottleneck; utilization capped at 100 % available.</t>
        </is>
      </c>
      <c r="F107" s="21" t="inlineStr">
        <is>
          <t>UI</t>
        </is>
      </c>
      <c r="G107" s="28" t="inlineStr">
        <is>
          <t>TODO</t>
        </is>
      </c>
      <c r="H107" s="17" t="inlineStr"/>
      <c r="I107" s="17" t="inlineStr"/>
      <c r="J107" s="17" t="inlineStr"/>
      <c r="K107" s="17" t="inlineStr"/>
    </row>
    <row r="108">
      <c r="A108" s="21" t="inlineStr">
        <is>
          <t>G9</t>
        </is>
      </c>
      <c r="B108" s="25" t="inlineStr">
        <is>
          <t>Machines &amp; capacity</t>
        </is>
      </c>
      <c r="C108" s="25" t="inlineStr">
        <is>
          <t>Utilization above 100 %</t>
        </is>
      </c>
      <c r="D108" s="25" t="inlineStr">
        <is>
          <t>Raise demand so that a machine is overloaded.</t>
        </is>
      </c>
      <c r="E108" s="25" t="inlineStr">
        <is>
          <t>The chart clearly shows the overload (&gt; 100 %) instead of silently capping.</t>
        </is>
      </c>
      <c r="F108" s="21" t="inlineStr">
        <is>
          <t>UI</t>
        </is>
      </c>
      <c r="G108" s="28" t="inlineStr">
        <is>
          <t>TODO</t>
        </is>
      </c>
      <c r="H108" s="17" t="inlineStr"/>
      <c r="I108" s="17" t="inlineStr"/>
      <c r="J108" s="17" t="inlineStr"/>
      <c r="K108" s="17" t="inlineStr"/>
    </row>
    <row r="109">
      <c r="A109" s="21" t="inlineStr">
        <is>
          <t>G10</t>
        </is>
      </c>
      <c r="B109" s="25" t="inlineStr">
        <is>
          <t>Machines &amp; capacity</t>
        </is>
      </c>
      <c r="C109" s="25" t="inlineStr">
        <is>
          <t>Machine × group scoping</t>
        </is>
      </c>
      <c r="D109" s="25" t="inlineStr">
        <is>
          <t>Look at machine hours under an active material group.</t>
        </is>
      </c>
      <c r="E109" s="25" t="inlineStr">
        <is>
          <t>The machine chart shows the hours of the group materials.</t>
        </is>
      </c>
      <c r="F109" s="21" t="inlineStr">
        <is>
          <t>UI</t>
        </is>
      </c>
      <c r="G109" s="28" t="inlineStr">
        <is>
          <t>TODO</t>
        </is>
      </c>
      <c r="H109" s="17" t="inlineStr"/>
      <c r="I109" s="17" t="inlineStr"/>
      <c r="J109" s="17" t="inlineStr"/>
      <c r="K109" s="17" t="inlineStr"/>
    </row>
    <row r="110">
      <c r="A110" s="21" t="inlineStr">
        <is>
          <t>G11</t>
        </is>
      </c>
      <c r="B110" s="25" t="inlineStr">
        <is>
          <t>Machines &amp; capacity</t>
        </is>
      </c>
      <c r="C110" s="25" t="inlineStr">
        <is>
          <t>Adjust availability</t>
        </is>
      </c>
      <c r="D110" s="25" t="inlineStr">
        <is>
          <t>Change the availability (%) of a machine.</t>
        </is>
      </c>
      <c r="E110" s="25" t="inlineStr">
        <is>
          <t>Capacity per period scales along; utilization recalculated.</t>
        </is>
      </c>
      <c r="F110" s="21" t="inlineStr">
        <is>
          <t>GT-B K4</t>
        </is>
      </c>
      <c r="G110" s="28" t="inlineStr">
        <is>
          <t>TODO</t>
        </is>
      </c>
      <c r="H110" s="17" t="inlineStr"/>
      <c r="I110" s="17" t="inlineStr"/>
      <c r="J110" s="17" t="inlineStr"/>
      <c r="K110" s="17" t="inlineStr"/>
    </row>
    <row r="111">
      <c r="A111" s="21" t="inlineStr">
        <is>
          <t>G12</t>
        </is>
      </c>
      <c r="B111" s="25" t="inlineStr">
        <is>
          <t>Machines &amp; capacity</t>
        </is>
      </c>
      <c r="C111" s="25" t="inlineStr">
        <is>
          <t>Adjust shift hours</t>
        </is>
      </c>
      <c r="D111" s="25" t="inlineStr">
        <is>
          <t>Change the shift hours per month of a machine.</t>
        </is>
      </c>
      <c r="E111" s="25" t="inlineStr">
        <is>
          <t>Available hours and utilization move consistently.</t>
        </is>
      </c>
      <c r="F111" s="21" t="inlineStr">
        <is>
          <t>GT-B K4</t>
        </is>
      </c>
      <c r="G111" s="28" t="inlineStr">
        <is>
          <t>TODO</t>
        </is>
      </c>
      <c r="H111" s="17" t="inlineStr"/>
      <c r="I111" s="17" t="inlineStr"/>
      <c r="J111" s="17" t="inlineStr"/>
      <c r="K111" s="17" t="inlineStr"/>
    </row>
    <row r="112">
      <c r="A112" s="21" t="inlineStr">
        <is>
          <t>G13</t>
        </is>
      </c>
      <c r="B112" s="25" t="inlineStr">
        <is>
          <t>Machines &amp; capacity</t>
        </is>
      </c>
      <c r="C112" s="25" t="inlineStr">
        <is>
          <t>Machine redo after undo</t>
        </is>
      </c>
      <c r="D112" s="25" t="inlineStr">
        <is>
          <t>Change OEE, undo, then redo.</t>
        </is>
      </c>
      <c r="E112" s="25" t="inlineStr">
        <is>
          <t>Redo restores the OEE change and the utilization exactly.</t>
        </is>
      </c>
      <c r="F112" s="21" t="inlineStr">
        <is>
          <t>GT-E</t>
        </is>
      </c>
      <c r="G112" s="28" t="inlineStr">
        <is>
          <t>TODO</t>
        </is>
      </c>
      <c r="H112" s="17" t="inlineStr"/>
      <c r="I112" s="17" t="inlineStr"/>
      <c r="J112" s="17" t="inlineStr"/>
      <c r="K112" s="17" t="inlineStr"/>
    </row>
    <row r="113">
      <c r="A113" s="21" t="inlineStr">
        <is>
          <t>G14</t>
        </is>
      </c>
      <c r="B113" s="25" t="inlineStr">
        <is>
          <t>Machines &amp; capacity</t>
        </is>
      </c>
      <c r="C113" s="25" t="inlineStr">
        <is>
          <t>Several machine edits + reset</t>
        </is>
      </c>
      <c r="D113" s="25" t="inlineStr">
        <is>
          <t>Make three machine edits and click reset.</t>
        </is>
      </c>
      <c r="E113" s="25" t="inlineStr">
        <is>
          <t>All machines exactly back to baseline.</t>
        </is>
      </c>
      <c r="F113" s="21" t="inlineStr">
        <is>
          <t>GT-E</t>
        </is>
      </c>
      <c r="G113" s="28" t="inlineStr">
        <is>
          <t>TODO</t>
        </is>
      </c>
      <c r="H113" s="17" t="inlineStr"/>
      <c r="I113" s="17" t="inlineStr"/>
      <c r="J113" s="17" t="inlineStr"/>
      <c r="K113" s="17" t="inlineStr"/>
    </row>
    <row r="114">
      <c r="A114" s="22" t="inlineStr">
        <is>
          <t>H. Exports</t>
        </is>
      </c>
      <c r="B114" s="23" t="n"/>
      <c r="C114" s="23" t="n"/>
      <c r="D114" s="23" t="n"/>
      <c r="E114" s="23" t="n"/>
      <c r="F114" s="23" t="n"/>
      <c r="G114" s="23" t="n"/>
      <c r="H114" s="23" t="n"/>
      <c r="I114" s="23" t="n"/>
      <c r="J114" s="23" t="n"/>
      <c r="K114" s="24" t="n"/>
    </row>
    <row r="115">
      <c r="A115" s="21" t="inlineStr">
        <is>
          <t>H1</t>
        </is>
      </c>
      <c r="B115" s="25" t="inlineStr">
        <is>
          <t>Exports</t>
        </is>
      </c>
      <c r="C115" s="25" t="inlineStr">
        <is>
          <t>Planning export (structure + values)</t>
        </is>
      </c>
      <c r="D115" s="25" t="inlineStr">
        <is>
          <t>Export the planning workbook and open it.</t>
        </is>
      </c>
      <c r="E115" s="25" t="inlineStr">
        <is>
          <t>Opens without repair message; structure right; sample of 3 cells = exactly the UI values. Run ground_truth_diff against the GT-A.</t>
        </is>
      </c>
      <c r="F115" s="21" t="inlineStr">
        <is>
          <t>GT-A</t>
        </is>
      </c>
      <c r="G115" s="28" t="inlineStr">
        <is>
          <t>TODO</t>
        </is>
      </c>
      <c r="H115" s="17" t="inlineStr"/>
      <c r="I115" s="17" t="inlineStr"/>
      <c r="J115" s="17" t="inlineStr"/>
      <c r="K115" s="17" t="inlineStr"/>
    </row>
    <row r="116">
      <c r="A116" s="21" t="inlineStr">
        <is>
          <t>H2</t>
        </is>
      </c>
      <c r="B116" s="25" t="inlineStr">
        <is>
          <t>Exports</t>
        </is>
      </c>
      <c r="C116" s="25" t="inlineStr">
        <is>
          <t>Export contains the edits</t>
        </is>
      </c>
      <c r="D116" s="25" t="inlineStr">
        <is>
          <t>Make a recognisable edit and export again.</t>
        </is>
      </c>
      <c r="E116" s="25" t="inlineStr">
        <is>
          <t>The exported cell shows the edited value, not the original.</t>
        </is>
      </c>
      <c r="F116" s="21" t="inlineStr">
        <is>
          <t>GT-C M12</t>
        </is>
      </c>
      <c r="G116" s="28" t="inlineStr">
        <is>
          <t>TODO</t>
        </is>
      </c>
      <c r="H116" s="17" t="inlineStr"/>
      <c r="I116" s="17" t="inlineStr"/>
      <c r="J116" s="17" t="inlineStr"/>
      <c r="K116" s="17" t="inlineStr"/>
    </row>
    <row r="117">
      <c r="A117" s="21" t="inlineStr">
        <is>
          <t>H3</t>
        </is>
      </c>
      <c r="B117" s="25" t="inlineStr">
        <is>
          <t>Exports</t>
        </is>
      </c>
      <c r="C117" s="25" t="inlineStr">
        <is>
          <t>Export contains added products</t>
        </is>
      </c>
      <c r="D117" s="25" t="inlineStr">
        <is>
          <t>Export with an added product in the session.</t>
        </is>
      </c>
      <c r="E117" s="25" t="inlineStr">
        <is>
          <t>The product is in the export with all its lines.</t>
        </is>
      </c>
      <c r="F117" s="21" t="inlineStr">
        <is>
          <t>UI</t>
        </is>
      </c>
      <c r="G117" s="28" t="inlineStr">
        <is>
          <t>TODO</t>
        </is>
      </c>
      <c r="H117" s="17" t="inlineStr"/>
      <c r="I117" s="17" t="inlineStr"/>
      <c r="J117" s="17" t="inlineStr"/>
      <c r="K117" s="17" t="inlineStr"/>
    </row>
    <row r="118">
      <c r="A118" s="21" t="inlineStr">
        <is>
          <t>H4</t>
        </is>
      </c>
      <c r="B118" s="25" t="inlineStr">
        <is>
          <t>Exports</t>
        </is>
      </c>
      <c r="C118" s="25" t="inlineStr">
        <is>
          <t>Export plant-wide under group</t>
        </is>
      </c>
      <c r="D118" s="25" t="inlineStr">
        <is>
          <t>Activate a group and export.</t>
        </is>
      </c>
      <c r="E118" s="25" t="inlineStr">
        <is>
          <t>The file contains the whole plant (deliberate choice).</t>
        </is>
      </c>
      <c r="F118" s="21" t="inlineStr">
        <is>
          <t>UI</t>
        </is>
      </c>
      <c r="G118" s="28" t="inlineStr">
        <is>
          <t>TODO</t>
        </is>
      </c>
      <c r="H118" s="17" t="inlineStr"/>
      <c r="I118" s="17" t="inlineStr"/>
      <c r="J118" s="17" t="inlineStr"/>
      <c r="K118" s="17" t="inlineStr"/>
    </row>
    <row r="119">
      <c r="A119" s="21" t="inlineStr">
        <is>
          <t>H5</t>
        </is>
      </c>
      <c r="B119" s="25" t="inlineStr">
        <is>
          <t>Exports</t>
        </is>
      </c>
      <c r="C119" s="25" t="inlineStr">
        <is>
          <t>MoM delta export</t>
        </is>
      </c>
      <c r="D119" s="25" t="inlineStr">
        <is>
          <t>Export the month-over-month delta (if a previous month is available).</t>
        </is>
      </c>
      <c r="E119" s="25" t="inlineStr">
        <is>
          <t>Delta workbook with differences versus the previous month.</t>
        </is>
      </c>
      <c r="F119" s="21" t="inlineStr">
        <is>
          <t>UI</t>
        </is>
      </c>
      <c r="G119" s="28" t="inlineStr">
        <is>
          <t>TODO</t>
        </is>
      </c>
      <c r="H119" s="17" t="inlineStr"/>
      <c r="I119" s="17" t="inlineStr"/>
      <c r="J119" s="17" t="inlineStr"/>
      <c r="K119" s="17" t="inlineStr"/>
    </row>
    <row r="120">
      <c r="A120" s="21" t="inlineStr">
        <is>
          <t>H6</t>
        </is>
      </c>
      <c r="B120" s="25" t="inlineStr">
        <is>
          <t>Exports</t>
        </is>
      </c>
      <c r="C120" s="25" t="inlineStr">
        <is>
          <t>DB export (flat)</t>
        </is>
      </c>
      <c r="D120" s="25" t="inlineStr">
        <is>
          <t>Run the flat database export.</t>
        </is>
      </c>
      <c r="E120" s="25" t="inlineStr">
        <is>
          <t>One row per material × line × period; counts plausible.</t>
        </is>
      </c>
      <c r="F120" s="21" t="inlineStr">
        <is>
          <t>UI</t>
        </is>
      </c>
      <c r="G120" s="28" t="inlineStr">
        <is>
          <t>TODO</t>
        </is>
      </c>
      <c r="H120" s="17" t="inlineStr"/>
      <c r="I120" s="17" t="inlineStr"/>
      <c r="J120" s="17" t="inlineStr"/>
      <c r="K120" s="17" t="inlineStr"/>
    </row>
    <row r="121">
      <c r="A121" s="21" t="inlineStr">
        <is>
          <t>H7</t>
        </is>
      </c>
      <c r="B121" s="25" t="inlineStr">
        <is>
          <t>Exports</t>
        </is>
      </c>
      <c r="C121" s="25" t="inlineStr">
        <is>
          <t>Analysis export</t>
        </is>
      </c>
      <c r="D121" s="25" t="inlineStr">
        <is>
          <t>Export a chart analysis.</t>
        </is>
      </c>
      <c r="E121" s="25" t="inlineStr">
        <is>
          <t>Excel with the same numbers as the analysis panel.</t>
        </is>
      </c>
      <c r="F121" s="21" t="inlineStr">
        <is>
          <t>UI</t>
        </is>
      </c>
      <c r="G121" s="28" t="inlineStr">
        <is>
          <t>TODO</t>
        </is>
      </c>
      <c r="H121" s="17" t="inlineStr"/>
      <c r="I121" s="17" t="inlineStr"/>
      <c r="J121" s="17" t="inlineStr"/>
      <c r="K121" s="17" t="inlineStr"/>
    </row>
    <row r="122">
      <c r="A122" s="21" t="inlineStr">
        <is>
          <t>H8</t>
        </is>
      </c>
      <c r="B122" s="25" t="inlineStr">
        <is>
          <t>Exports</t>
        </is>
      </c>
      <c r="C122" s="25" t="inlineStr">
        <is>
          <t>Edge: export right after restart</t>
        </is>
      </c>
      <c r="D122" s="25" t="inlineStr">
        <is>
          <t>Restart and export immediately (warm session).</t>
        </is>
      </c>
      <c r="E122" s="25" t="inlineStr">
        <is>
          <t>The export is right; no empty or half-loaded data.</t>
        </is>
      </c>
      <c r="F122" s="21" t="inlineStr">
        <is>
          <t>GT-E</t>
        </is>
      </c>
      <c r="G122" s="28" t="inlineStr">
        <is>
          <t>TODO</t>
        </is>
      </c>
      <c r="H122" s="17" t="inlineStr"/>
      <c r="I122" s="17" t="inlineStr"/>
      <c r="J122" s="17" t="inlineStr"/>
      <c r="K122" s="17" t="inlineStr"/>
    </row>
    <row r="123">
      <c r="A123" s="21" t="inlineStr">
        <is>
          <t>H9</t>
        </is>
      </c>
      <c r="B123" s="25" t="inlineStr">
        <is>
          <t>Exports</t>
        </is>
      </c>
      <c r="C123" s="25" t="inlineStr">
        <is>
          <t>Edge: export with comment</t>
        </is>
      </c>
      <c r="D123" s="25" t="inlineStr">
        <is>
          <t>Put a comment on a cell and export.</t>
        </is>
      </c>
      <c r="E123" s="25" t="inlineStr">
        <is>
          <t>The comment comes along (or is ignored cleanly) without disturbing the numbers.</t>
        </is>
      </c>
      <c r="F123" s="21" t="inlineStr">
        <is>
          <t>UI</t>
        </is>
      </c>
      <c r="G123" s="28" t="inlineStr">
        <is>
          <t>TODO</t>
        </is>
      </c>
      <c r="H123" s="17" t="inlineStr"/>
      <c r="I123" s="17" t="inlineStr"/>
      <c r="J123" s="17" t="inlineStr"/>
      <c r="K123" s="17" t="inlineStr"/>
    </row>
    <row r="124">
      <c r="A124" s="21" t="inlineStr">
        <is>
          <t>H10</t>
        </is>
      </c>
      <c r="B124" s="25" t="inlineStr">
        <is>
          <t>Exports</t>
        </is>
      </c>
      <c r="C124" s="25" t="inlineStr">
        <is>
          <t>Two instances, separate exports</t>
        </is>
      </c>
      <c r="D124" s="25" t="inlineStr">
        <is>
          <t>Export both instances.</t>
        </is>
      </c>
      <c r="E124" s="25" t="inlineStr">
        <is>
          <t>Each export file belongs to the right instance (numbers/periods right per instance).</t>
        </is>
      </c>
      <c r="F124" s="21" t="inlineStr">
        <is>
          <t>UI</t>
        </is>
      </c>
      <c r="G124" s="28" t="inlineStr">
        <is>
          <t>TODO</t>
        </is>
      </c>
      <c r="H124" s="17" t="inlineStr"/>
      <c r="I124" s="17" t="inlineStr"/>
      <c r="J124" s="17" t="inlineStr"/>
      <c r="K124" s="17" t="inlineStr"/>
    </row>
    <row r="125">
      <c r="A125" s="21" t="inlineStr">
        <is>
          <t>H11</t>
        </is>
      </c>
      <c r="B125" s="25" t="inlineStr">
        <is>
          <t>Exports</t>
        </is>
      </c>
      <c r="C125" s="25" t="inlineStr">
        <is>
          <t>FTE sheet in the export</t>
        </is>
      </c>
      <c r="D125" s="25" t="inlineStr">
        <is>
          <t>Open the FTE requirements sheet in the export.</t>
        </is>
      </c>
      <c r="E125" s="25" t="inlineStr">
        <is>
          <t>FTE totals per period match the dashboard.</t>
        </is>
      </c>
      <c r="F125" s="21" t="inlineStr">
        <is>
          <t>GT-D</t>
        </is>
      </c>
      <c r="G125" s="28" t="inlineStr">
        <is>
          <t>TODO</t>
        </is>
      </c>
      <c r="H125" s="17" t="inlineStr"/>
      <c r="I125" s="17" t="inlineStr"/>
      <c r="J125" s="17" t="inlineStr"/>
      <c r="K125" s="17" t="inlineStr"/>
    </row>
    <row r="126">
      <c r="A126" s="21" t="inlineStr">
        <is>
          <t>H12</t>
        </is>
      </c>
      <c r="B126" s="25" t="inlineStr">
        <is>
          <t>Exports</t>
        </is>
      </c>
      <c r="C126" s="25" t="inlineStr">
        <is>
          <t>Inventory quality sheet</t>
        </is>
      </c>
      <c r="D126" s="25" t="inlineStr">
        <is>
          <t>Open the Inventory quality sheet in the export.</t>
        </is>
      </c>
      <c r="E126" s="25" t="inlineStr">
        <is>
          <t>Categories/values match the UI chart.</t>
        </is>
      </c>
      <c r="F126" s="21" t="inlineStr">
        <is>
          <t>UI</t>
        </is>
      </c>
      <c r="G126" s="28" t="inlineStr">
        <is>
          <t>TODO</t>
        </is>
      </c>
      <c r="H126" s="17" t="inlineStr"/>
      <c r="I126" s="17" t="inlineStr"/>
      <c r="J126" s="17" t="inlineStr"/>
      <c r="K126" s="17" t="inlineStr"/>
    </row>
    <row r="127">
      <c r="A127" s="21" t="inlineStr">
        <is>
          <t>H13</t>
        </is>
      </c>
      <c r="B127" s="25" t="inlineStr">
        <is>
          <t>Exports</t>
        </is>
      </c>
      <c r="C127" s="25" t="inlineStr">
        <is>
          <t>Values planning sheet</t>
        </is>
      </c>
      <c r="D127" s="25" t="inlineStr">
        <is>
          <t>Sample 3 cells from the Values_Planning sheet.</t>
        </is>
      </c>
      <c r="E127" s="25" t="inlineStr">
        <is>
          <t>Financial values match the UI exactly.</t>
        </is>
      </c>
      <c r="F127" s="21" t="inlineStr">
        <is>
          <t>GT-A</t>
        </is>
      </c>
      <c r="G127" s="28" t="inlineStr">
        <is>
          <t>TODO</t>
        </is>
      </c>
      <c r="H127" s="17" t="inlineStr"/>
      <c r="I127" s="17" t="inlineStr"/>
      <c r="J127" s="17" t="inlineStr"/>
      <c r="K127" s="17" t="inlineStr"/>
    </row>
    <row r="128">
      <c r="A128" s="21" t="inlineStr">
        <is>
          <t>H14</t>
        </is>
      </c>
      <c r="B128" s="25" t="inlineStr">
        <is>
          <t>Exports</t>
        </is>
      </c>
      <c r="C128" s="25" t="inlineStr">
        <is>
          <t>DB export column structure</t>
        </is>
      </c>
      <c r="D128" s="25" t="inlineStr">
        <is>
          <t>Look at the column headers of the DB export.</t>
        </is>
      </c>
      <c r="E128" s="25" t="inlineStr">
        <is>
          <t>One row per material × line × period with the expected columns (material, line, period, value, site).</t>
        </is>
      </c>
      <c r="F128" s="21" t="inlineStr">
        <is>
          <t>UI</t>
        </is>
      </c>
      <c r="G128" s="28" t="inlineStr">
        <is>
          <t>TODO</t>
        </is>
      </c>
      <c r="H128" s="17" t="inlineStr"/>
      <c r="I128" s="17" t="inlineStr"/>
      <c r="J128" s="17" t="inlineStr"/>
      <c r="K128" s="17" t="inlineStr"/>
    </row>
    <row r="129">
      <c r="A129" s="22" t="inlineStr">
        <is>
          <t>I. Closing</t>
        </is>
      </c>
      <c r="B129" s="23" t="n"/>
      <c r="C129" s="23" t="n"/>
      <c r="D129" s="23" t="n"/>
      <c r="E129" s="23" t="n"/>
      <c r="F129" s="23" t="n"/>
      <c r="G129" s="23" t="n"/>
      <c r="H129" s="23" t="n"/>
      <c r="I129" s="23" t="n"/>
      <c r="J129" s="23" t="n"/>
      <c r="K129" s="24" t="n"/>
    </row>
    <row r="130">
      <c r="A130" s="21" t="inlineStr">
        <is>
          <t>I1</t>
        </is>
      </c>
      <c r="B130" s="25" t="inlineStr">
        <is>
          <t>Closing</t>
        </is>
      </c>
      <c r="C130" s="25" t="inlineStr">
        <is>
          <t>No errors</t>
        </is>
      </c>
      <c r="D130" s="25" t="inlineStr">
        <is>
          <t>Look back over the whole session.</t>
        </is>
      </c>
      <c r="E130" s="25" t="inlineStr">
        <is>
          <t>No red error messages or empty screens seen.</t>
        </is>
      </c>
      <c r="F130" s="21" t="inlineStr">
        <is>
          <t>UI</t>
        </is>
      </c>
      <c r="G130" s="28" t="inlineStr">
        <is>
          <t>TODO</t>
        </is>
      </c>
      <c r="H130" s="17" t="inlineStr"/>
      <c r="I130" s="17" t="inlineStr"/>
      <c r="J130" s="17" t="inlineStr"/>
      <c r="K130" s="17" t="inlineStr"/>
    </row>
    <row r="131">
      <c r="A131" s="21" t="inlineStr">
        <is>
          <t>I2</t>
        </is>
      </c>
      <c r="B131" s="25" t="inlineStr">
        <is>
          <t>Closing</t>
        </is>
      </c>
      <c r="C131" s="25" t="inlineStr">
        <is>
          <t>Language &amp; messages</t>
        </is>
      </c>
      <c r="D131" s="25" t="inlineStr">
        <is>
          <t>Judge the messages.</t>
        </is>
      </c>
      <c r="E131" s="25" t="inlineStr">
        <is>
          <t>All user-facing messages understandable, with a course of action.</t>
        </is>
      </c>
      <c r="F131" s="21" t="inlineStr">
        <is>
          <t>UI</t>
        </is>
      </c>
      <c r="G131" s="28" t="inlineStr">
        <is>
          <t>TODO</t>
        </is>
      </c>
      <c r="H131" s="17" t="inlineStr"/>
      <c r="I131" s="17" t="inlineStr"/>
      <c r="J131" s="17" t="inlineStr"/>
      <c r="K131" s="17" t="inlineStr"/>
    </row>
    <row r="132">
      <c r="A132" s="21" t="inlineStr">
        <is>
          <t>I3</t>
        </is>
      </c>
      <c r="B132" s="25" t="inlineStr">
        <is>
          <t>Closing</t>
        </is>
      </c>
      <c r="C132" s="25" t="inlineStr">
        <is>
          <t>Consistency table ↔ chart</t>
        </is>
      </c>
      <c r="D132" s="25" t="inlineStr">
        <is>
          <t>Compare a few table values with the matching chart.</t>
        </is>
      </c>
      <c r="E132" s="25" t="inlineStr">
        <is>
          <t>Table and chart tell the same story (no divergence).</t>
        </is>
      </c>
      <c r="F132" s="21" t="inlineStr">
        <is>
          <t>UI</t>
        </is>
      </c>
      <c r="G132" s="28" t="inlineStr">
        <is>
          <t>TODO</t>
        </is>
      </c>
      <c r="H132" s="17" t="inlineStr"/>
      <c r="I132" s="17" t="inlineStr"/>
      <c r="J132" s="17" t="inlineStr"/>
      <c r="K132" s="17" t="inlineStr"/>
    </row>
    <row r="133">
      <c r="A133" s="21" t="inlineStr">
        <is>
          <t>I4</t>
        </is>
      </c>
      <c r="B133" s="25" t="inlineStr">
        <is>
          <t>Closing</t>
        </is>
      </c>
      <c r="C133" s="25" t="inlineStr">
        <is>
          <t>Consistency dashboard ↔ detail</t>
        </is>
      </c>
      <c r="D133" s="25" t="inlineStr">
        <is>
          <t>Compare a dashboard KPI with the underlying detail rows.</t>
        </is>
      </c>
      <c r="E133" s="25" t="inlineStr">
        <is>
          <t>The KPI is the correct sum of the details.</t>
        </is>
      </c>
      <c r="F133" s="21" t="inlineStr">
        <is>
          <t>GT-D</t>
        </is>
      </c>
      <c r="G133" s="28" t="inlineStr">
        <is>
          <t>TODO</t>
        </is>
      </c>
      <c r="H133" s="17" t="inlineStr"/>
      <c r="I133" s="17" t="inlineStr"/>
      <c r="J133" s="17" t="inlineStr"/>
      <c r="K133" s="17" t="inlineStr"/>
    </row>
    <row r="134">
      <c r="A134" s="21" t="inlineStr">
        <is>
          <t>I5</t>
        </is>
      </c>
      <c r="B134" s="25" t="inlineStr">
        <is>
          <t>Closing</t>
        </is>
      </c>
      <c r="C134" s="25" t="inlineStr">
        <is>
          <t>Restart stability</t>
        </is>
      </c>
      <c r="D134" s="25" t="inlineStr">
        <is>
          <t>Restart the app one last time.</t>
        </is>
      </c>
      <c r="E134" s="25" t="inlineStr">
        <is>
          <t>All instances + data intact; numbers identical to before the restart.</t>
        </is>
      </c>
      <c r="F134" s="21" t="inlineStr">
        <is>
          <t>GT-E</t>
        </is>
      </c>
      <c r="G134" s="28" t="inlineStr">
        <is>
          <t>TODO</t>
        </is>
      </c>
      <c r="H134" s="17" t="inlineStr"/>
      <c r="I134" s="17" t="inlineStr"/>
      <c r="J134" s="17" t="inlineStr"/>
      <c r="K134" s="17" t="inlineStr"/>
    </row>
    <row r="135">
      <c r="A135" s="21" t="inlineStr">
        <is>
          <t>I6</t>
        </is>
      </c>
      <c r="B135" s="25" t="inlineStr">
        <is>
          <t>Closing</t>
        </is>
      </c>
      <c r="C135" s="25" t="inlineStr">
        <is>
          <t>Clean-up</t>
        </is>
      </c>
      <c r="D135" s="25" t="inlineStr">
        <is>
          <t>Delete test products, test groups and the second instance; revert master-data test changes.</t>
        </is>
      </c>
      <c r="E135" s="25" t="inlineStr">
        <is>
          <t>Deletion works cleanly; the remaining data stays intact.</t>
        </is>
      </c>
      <c r="F135" s="21" t="inlineStr">
        <is>
          <t>UI</t>
        </is>
      </c>
      <c r="G135" s="28" t="inlineStr">
        <is>
          <t>TODO</t>
        </is>
      </c>
      <c r="H135" s="17" t="inlineStr"/>
      <c r="I135" s="17" t="inlineStr"/>
      <c r="J135" s="17" t="inlineStr"/>
      <c r="K135" s="17" t="inlineStr"/>
    </row>
    <row r="136">
      <c r="A136" s="21" t="inlineStr">
        <is>
          <t>I7</t>
        </is>
      </c>
      <c r="B136" s="25" t="inlineStr">
        <is>
          <t>Closing</t>
        </is>
      </c>
      <c r="C136" s="25" t="inlineStr">
        <is>
          <t>Clean end state</t>
        </is>
      </c>
      <c r="D136" s="25" t="inlineStr">
        <is>
          <t>Restart once more after the clean-up.</t>
        </is>
      </c>
      <c r="E136" s="25" t="inlineStr">
        <is>
          <t>Only the real instance(s) and data remain.</t>
        </is>
      </c>
      <c r="F136" s="21" t="inlineStr">
        <is>
          <t>UI</t>
        </is>
      </c>
      <c r="G136" s="28" t="inlineStr">
        <is>
          <t>TODO</t>
        </is>
      </c>
      <c r="H136" s="17" t="inlineStr"/>
      <c r="I136" s="17" t="inlineStr"/>
      <c r="J136" s="17" t="inlineStr"/>
      <c r="K136" s="17" t="inlineStr"/>
    </row>
    <row r="137">
      <c r="A137" s="21" t="inlineStr">
        <is>
          <t>I8</t>
        </is>
      </c>
      <c r="B137" s="25" t="inlineStr">
        <is>
          <t>Closing</t>
        </is>
      </c>
      <c r="C137" s="25" t="inlineStr">
        <is>
          <t>Golden parity intact</t>
        </is>
      </c>
      <c r="D137" s="25" t="inlineStr">
        <is>
          <t>Confirm the core is untouched (python main.py --test).</t>
        </is>
      </c>
      <c r="E137" s="25" t="inlineStr">
        <is>
          <t>The parity smoke passes; the single-file flow stayed byte-identical.</t>
        </is>
      </c>
      <c r="F137" s="21" t="inlineStr">
        <is>
          <t>GT-E</t>
        </is>
      </c>
      <c r="G137" s="28" t="inlineStr">
        <is>
          <t>TODO</t>
        </is>
      </c>
      <c r="H137" s="17" t="inlineStr"/>
      <c r="I137" s="17" t="inlineStr"/>
      <c r="J137" s="17" t="inlineStr"/>
      <c r="K137" s="17" t="inlineStr"/>
    </row>
    <row r="138">
      <c r="A138" s="21" t="inlineStr">
        <is>
          <t>I9</t>
        </is>
      </c>
      <c r="B138" s="25" t="inlineStr">
        <is>
          <t>Closing</t>
        </is>
      </c>
      <c r="C138" s="25" t="inlineStr">
        <is>
          <t>Stock running balance</t>
        </is>
      </c>
      <c r="D138" s="25" t="inlineStr">
        <is>
          <t>Sample: stock end of period = start + receipts − demand.</t>
        </is>
      </c>
      <c r="E138" s="25" t="inlineStr">
        <is>
          <t>The running stock balance (L04) holds over the period chain.</t>
        </is>
      </c>
      <c r="F138" s="21" t="inlineStr">
        <is>
          <t>GT-D I3</t>
        </is>
      </c>
      <c r="G138" s="28" t="inlineStr">
        <is>
          <t>TODO</t>
        </is>
      </c>
      <c r="H138" s="17" t="inlineStr"/>
      <c r="I138" s="17" t="inlineStr"/>
      <c r="J138" s="17" t="inlineStr"/>
      <c r="K138" s="17" t="inlineStr"/>
    </row>
    <row r="139">
      <c r="A139" s="21" t="inlineStr">
        <is>
          <t>I10</t>
        </is>
      </c>
      <c r="B139" s="25" t="inlineStr">
        <is>
          <t>Closing</t>
        </is>
      </c>
      <c r="C139" s="25" t="inlineStr">
        <is>
          <t>All line types present</t>
        </is>
      </c>
      <c r="D139" s="25" t="inlineStr">
        <is>
          <t>Check that all expected line types (L01–L12) are in the results.</t>
        </is>
      </c>
      <c r="E139" s="25" t="inlineStr">
        <is>
          <t>No missing lines; EXPECTED_LINE_TYPES complete.</t>
        </is>
      </c>
      <c r="F139" s="21" t="inlineStr">
        <is>
          <t>GT-D I11</t>
        </is>
      </c>
      <c r="G139" s="28" t="inlineStr">
        <is>
          <t>TODO</t>
        </is>
      </c>
      <c r="H139" s="17" t="inlineStr"/>
      <c r="I139" s="17" t="inlineStr"/>
      <c r="J139" s="17" t="inlineStr"/>
      <c r="K139" s="17" t="inlineStr"/>
    </row>
    <row r="140">
      <c r="A140" s="21" t="inlineStr">
        <is>
          <t>I11</t>
        </is>
      </c>
      <c r="B140" s="25" t="inlineStr">
        <is>
          <t>Closing</t>
        </is>
      </c>
      <c r="C140" s="25" t="inlineStr">
        <is>
          <t>No invalid numbers</t>
        </is>
      </c>
      <c r="D140" s="25" t="inlineStr">
        <is>
          <t>Scan the results for NaN / infinity / None in numeric fields.</t>
        </is>
      </c>
      <c r="E140" s="25" t="inlineStr">
        <is>
          <t>All values are valid numbers.</t>
        </is>
      </c>
      <c r="F140" s="21" t="inlineStr">
        <is>
          <t>GT-D I10</t>
        </is>
      </c>
      <c r="G140" s="28" t="inlineStr">
        <is>
          <t>TODO</t>
        </is>
      </c>
      <c r="H140" s="17" t="inlineStr"/>
      <c r="I140" s="17" t="inlineStr"/>
      <c r="J140" s="17" t="inlineStr"/>
      <c r="K140" s="17" t="inlineStr"/>
    </row>
    <row r="141">
      <c r="A141" s="21" t="inlineStr">
        <is>
          <t>I12</t>
        </is>
      </c>
      <c r="B141" s="25" t="inlineStr">
        <is>
          <t>Closing</t>
        </is>
      </c>
      <c r="C141" s="25" t="inlineStr">
        <is>
          <t>Golden vs live sample</t>
        </is>
      </c>
      <c r="D141" s="25" t="inlineStr">
        <is>
          <t>Compare a sample of live numbers with the golden baseline.</t>
        </is>
      </c>
      <c r="E141" s="25" t="inlineStr">
        <is>
          <t>The core is byte-identical to the golden reference.</t>
        </is>
      </c>
      <c r="F141" s="21" t="inlineStr">
        <is>
          <t>GT-E</t>
        </is>
      </c>
      <c r="G141" s="28" t="inlineStr">
        <is>
          <t>TODO</t>
        </is>
      </c>
      <c r="H141" s="17" t="inlineStr"/>
      <c r="I141" s="17" t="inlineStr"/>
      <c r="J141" s="17" t="inlineStr"/>
      <c r="K141" s="17" t="inlineStr"/>
    </row>
  </sheetData>
  <autoFilter ref="A4:K4"/>
  <mergeCells count="11">
    <mergeCell ref="A114:K114"/>
    <mergeCell ref="A18:K18"/>
    <mergeCell ref="A29:K29"/>
    <mergeCell ref="A57:K57"/>
    <mergeCell ref="A2:K2"/>
    <mergeCell ref="A129:K129"/>
    <mergeCell ref="A99:K99"/>
    <mergeCell ref="A42:K42"/>
    <mergeCell ref="A5:K5"/>
    <mergeCell ref="A76:K76"/>
    <mergeCell ref="A1:K1"/>
  </mergeCells>
  <conditionalFormatting sqref="G5:G142">
    <cfRule type="cellIs" priority="1" operator="equal" dxfId="1">
      <formula>"PASS"</formula>
    </cfRule>
    <cfRule type="cellIs" priority="2" operator="equal" dxfId="0">
      <formula>"FAIL"</formula>
    </cfRule>
    <cfRule type="cellIs" priority="3" operator="equal" dxfId="2">
      <formula>"BLOCKED"</formula>
    </cfRule>
    <cfRule type="cellIs" priority="4" operator="equal" dxfId="3">
      <formula>"N/A"</formula>
    </cfRule>
  </conditionalFormatting>
  <dataValidations count="1">
    <dataValidation sqref="G5:G142" showDropDown="0" showInputMessage="0" showErrorMessage="0" allowBlank="1" type="list">
      <formula1>"TODO,PASS,FAIL,BLOCKED,N/A"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4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26" customWidth="1" min="2" max="2"/>
    <col width="60" customWidth="1" min="3" max="3"/>
    <col width="30" customWidth="1" min="4" max="4"/>
    <col width="30" customWidth="1" min="5" max="5"/>
    <col width="10" customWidth="1" min="6" max="6"/>
    <col width="30" customWidth="1" min="7" max="7"/>
    <col width="12" customWidth="1" min="8" max="8"/>
    <col width="11" customWidth="1" min="9" max="9"/>
  </cols>
  <sheetData>
    <row r="1" ht="26" customHeight="1">
      <c r="A1" s="16" t="inlineStr">
        <is>
          <t>Engine &amp; pipeline checks (119 items — original verification matrix, English edition)</t>
        </is>
      </c>
    </row>
    <row r="2">
      <c r="A2" s="2" t="inlineStr">
        <is>
          <t>Run per configuration: Test 1 baseline 2025-12 (12 FC / 12 actuals) · Test 2 mid-year (12 / 6) · Test 3 baseline next year · Test 4 longer forecast. Copy this sheet per configuration.</t>
        </is>
      </c>
    </row>
    <row r="4" ht="30" customHeight="1">
      <c r="A4" s="7" t="inlineStr">
        <is>
          <t>#</t>
        </is>
      </c>
      <c r="B4" s="7" t="inlineStr">
        <is>
          <t>Section</t>
        </is>
      </c>
      <c r="C4" s="7" t="inlineStr">
        <is>
          <t>Check item</t>
        </is>
      </c>
      <c r="D4" s="7" t="inlineStr">
        <is>
          <t>Input / how to verify</t>
        </is>
      </c>
      <c r="E4" s="7" t="inlineStr">
        <is>
          <t>Expected</t>
        </is>
      </c>
      <c r="F4" s="7" t="inlineStr">
        <is>
          <t>Status</t>
        </is>
      </c>
      <c r="G4" s="7" t="inlineStr">
        <is>
          <t>Notes</t>
        </is>
      </c>
      <c r="H4" s="7" t="inlineStr">
        <is>
          <t>Tester</t>
        </is>
      </c>
      <c r="I4" s="7" t="inlineStr">
        <is>
          <t>Date</t>
        </is>
      </c>
    </row>
    <row r="5">
      <c r="A5" s="22" t="inlineStr">
        <is>
          <t>1. Raw Excel input / sheet validation</t>
        </is>
      </c>
      <c r="B5" s="23" t="n"/>
      <c r="C5" s="23" t="n"/>
      <c r="D5" s="23" t="n"/>
      <c r="E5" s="23" t="n"/>
      <c r="F5" s="23" t="n"/>
      <c r="G5" s="23" t="n"/>
      <c r="H5" s="23" t="n"/>
      <c r="I5" s="24" t="n"/>
    </row>
    <row r="6">
      <c r="A6" s="21" t="n">
        <v>1</v>
      </c>
      <c r="B6" s="25" t="inlineStr">
        <is>
          <t>1. Raw Excel input / sheet validation</t>
        </is>
      </c>
      <c r="C6" s="25" t="inlineStr">
        <is>
          <t>Required sheets present: Config, FTE sheet, Material master, BOM, OEE + Machine groups, Routing, Forecast sheet, Stock level sheet, Safety stock, Purchase sheet</t>
        </is>
      </c>
      <c r="D6" s="17" t="inlineStr"/>
      <c r="E6" s="17" t="inlineStr"/>
      <c r="F6" s="28" t="inlineStr">
        <is>
          <t>TODO</t>
        </is>
      </c>
      <c r="G6" s="17" t="inlineStr"/>
      <c r="H6" s="17" t="inlineStr"/>
      <c r="I6" s="17" t="inlineStr"/>
    </row>
    <row r="7">
      <c r="A7" s="21" t="n">
        <v>2</v>
      </c>
      <c r="B7" s="25" t="inlineStr">
        <is>
          <t>1. Raw Excel input / sheet validation</t>
        </is>
      </c>
      <c r="C7" s="25" t="inlineStr">
        <is>
          <t>Optional sheets (Average sales price, Cost raw material, Cost machine hour, Valuation parameters) — no crash when missing</t>
        </is>
      </c>
      <c r="D7" s="17" t="inlineStr"/>
      <c r="E7" s="17" t="inlineStr"/>
      <c r="F7" s="28" t="inlineStr">
        <is>
          <t>TODO</t>
        </is>
      </c>
      <c r="G7" s="17" t="inlineStr"/>
      <c r="H7" s="17" t="inlineStr"/>
      <c r="I7" s="17" t="inlineStr"/>
    </row>
    <row r="8">
      <c r="A8" s="21" t="n">
        <v>3</v>
      </c>
      <c r="B8" s="25" t="inlineStr">
        <is>
          <t>1. Raw Excel input / sheet validation</t>
        </is>
      </c>
      <c r="C8" s="25" t="inlineStr">
        <is>
          <t>Workbook opens correctly via pd.ExcelFile(file_path)</t>
        </is>
      </c>
      <c r="D8" s="17" t="inlineStr"/>
      <c r="E8" s="17" t="inlineStr"/>
      <c r="F8" s="28" t="inlineStr">
        <is>
          <t>TODO</t>
        </is>
      </c>
      <c r="G8" s="17" t="inlineStr"/>
      <c r="H8" s="17" t="inlineStr"/>
      <c r="I8" s="17" t="inlineStr"/>
    </row>
    <row r="9">
      <c r="A9" s="21" t="n">
        <v>4</v>
      </c>
      <c r="B9" s="25" t="inlineStr">
        <is>
          <t>1. Raw Excel input / sheet validation</t>
        </is>
      </c>
      <c r="C9" s="25" t="inlineStr">
        <is>
          <t>Empty rows / missing material numbers are skipped without error</t>
        </is>
      </c>
      <c r="D9" s="17" t="inlineStr"/>
      <c r="E9" s="17" t="inlineStr"/>
      <c r="F9" s="28" t="inlineStr">
        <is>
          <t>TODO</t>
        </is>
      </c>
      <c r="G9" s="17" t="inlineStr"/>
      <c r="H9" s="17" t="inlineStr"/>
      <c r="I9" s="17" t="inlineStr"/>
    </row>
    <row r="10">
      <c r="A10" s="22" t="inlineStr">
        <is>
          <t>2. Config sheet</t>
        </is>
      </c>
      <c r="B10" s="23" t="n"/>
      <c r="C10" s="23" t="n"/>
      <c r="D10" s="23" t="n"/>
      <c r="E10" s="23" t="n"/>
      <c r="F10" s="23" t="n"/>
      <c r="G10" s="23" t="n"/>
      <c r="H10" s="23" t="n"/>
      <c r="I10" s="24" t="n"/>
    </row>
    <row r="11">
      <c r="A11" s="21" t="n">
        <v>5</v>
      </c>
      <c r="B11" s="25" t="inlineStr">
        <is>
          <t>2. Config sheet</t>
        </is>
      </c>
      <c r="C11" s="25" t="inlineStr">
        <is>
          <t>ForecastMonths parsed correctly</t>
        </is>
      </c>
      <c r="D11" s="17" t="inlineStr"/>
      <c r="E11" s="17" t="inlineStr"/>
      <c r="F11" s="28" t="inlineStr">
        <is>
          <t>TODO</t>
        </is>
      </c>
      <c r="G11" s="17" t="inlineStr"/>
      <c r="H11" s="17" t="inlineStr"/>
      <c r="I11" s="17" t="inlineStr"/>
    </row>
    <row r="12">
      <c r="A12" s="21" t="n">
        <v>6</v>
      </c>
      <c r="B12" s="25" t="inlineStr">
        <is>
          <t>2. Config sheet</t>
        </is>
      </c>
      <c r="C12" s="25" t="inlineStr">
        <is>
          <t>ForecastActualsMonths parsed correctly</t>
        </is>
      </c>
      <c r="D12" s="17" t="inlineStr"/>
      <c r="E12" s="17" t="inlineStr"/>
      <c r="F12" s="28" t="inlineStr">
        <is>
          <t>TODO</t>
        </is>
      </c>
      <c r="G12" s="17" t="inlineStr"/>
      <c r="H12" s="17" t="inlineStr"/>
      <c r="I12" s="17" t="inlineStr"/>
    </row>
    <row r="13">
      <c r="A13" s="21" t="n">
        <v>7</v>
      </c>
      <c r="B13" s="25" t="inlineStr">
        <is>
          <t>2. Config sheet</t>
        </is>
      </c>
      <c r="C13" s="25" t="inlineStr">
        <is>
          <t>Site parsed correctly and used for BOM filtering</t>
        </is>
      </c>
      <c r="D13" s="17" t="inlineStr"/>
      <c r="E13" s="17" t="inlineStr"/>
      <c r="F13" s="28" t="inlineStr">
        <is>
          <t>TODO</t>
        </is>
      </c>
      <c r="G13" s="17" t="inlineStr"/>
      <c r="H13" s="17" t="inlineStr"/>
      <c r="I13" s="17" t="inlineStr"/>
    </row>
    <row r="14">
      <c r="A14" s="21" t="n">
        <v>8</v>
      </c>
      <c r="B14" s="25" t="inlineStr">
        <is>
          <t>2. Config sheet</t>
        </is>
      </c>
      <c r="C14" s="25" t="inlineStr">
        <is>
          <t>MachineUnlimitedCapacity list read correctly</t>
        </is>
      </c>
      <c r="D14" s="17" t="inlineStr"/>
      <c r="E14" s="17" t="inlineStr"/>
      <c r="F14" s="28" t="inlineStr">
        <is>
          <t>TODO</t>
        </is>
      </c>
      <c r="G14" s="17" t="inlineStr"/>
      <c r="H14" s="17" t="inlineStr"/>
      <c r="I14" s="17" t="inlineStr"/>
    </row>
    <row r="15">
      <c r="A15" s="21" t="n">
        <v>9</v>
      </c>
      <c r="B15" s="25" t="inlineStr">
        <is>
          <t>2. Config sheet</t>
        </is>
      </c>
      <c r="C15" s="25" t="inlineStr">
        <is>
          <t>PurchasedAndProducedMaterials MAT:ratio pairs parsed correctly</t>
        </is>
      </c>
      <c r="D15" s="17" t="inlineStr"/>
      <c r="E15" s="17" t="inlineStr"/>
      <c r="F15" s="28" t="inlineStr">
        <is>
          <t>TODO</t>
        </is>
      </c>
      <c r="G15" s="17" t="inlineStr"/>
      <c r="H15" s="17" t="inlineStr"/>
      <c r="I15" s="17" t="inlineStr"/>
    </row>
    <row r="16">
      <c r="A16" s="21" t="n">
        <v>10</v>
      </c>
      <c r="B16" s="25" t="inlineStr">
        <is>
          <t>2. Config sheet</t>
        </is>
      </c>
      <c r="C16" s="25" t="inlineStr">
        <is>
          <t>initial_date matches the Config header date</t>
        </is>
      </c>
      <c r="D16" s="17" t="inlineStr"/>
      <c r="E16" s="17" t="inlineStr"/>
      <c r="F16" s="28" t="inlineStr">
        <is>
          <t>TODO</t>
        </is>
      </c>
      <c r="G16" s="17" t="inlineStr"/>
      <c r="H16" s="17" t="inlineStr"/>
      <c r="I16" s="17" t="inlineStr"/>
    </row>
    <row r="17">
      <c r="A17" s="21" t="n">
        <v>11</v>
      </c>
      <c r="B17" s="25" t="inlineStr">
        <is>
          <t>2. Config sheet</t>
        </is>
      </c>
      <c r="C17" s="25" t="inlineStr">
        <is>
          <t>self.periods matches the generated planning periods</t>
        </is>
      </c>
      <c r="D17" s="17" t="inlineStr"/>
      <c r="E17" s="17" t="inlineStr"/>
      <c r="F17" s="28" t="inlineStr">
        <is>
          <t>TODO</t>
        </is>
      </c>
      <c r="G17" s="17" t="inlineStr"/>
      <c r="H17" s="17" t="inlineStr"/>
      <c r="I17" s="17" t="inlineStr"/>
    </row>
    <row r="18">
      <c r="A18" s="21" t="n">
        <v>12</v>
      </c>
      <c r="B18" s="25" t="inlineStr">
        <is>
          <t>2. Config sheet</t>
        </is>
      </c>
      <c r="C18" s="25" t="inlineStr">
        <is>
          <t>planning_month / months_actuals / months_forecast CLI override works</t>
        </is>
      </c>
      <c r="D18" s="17" t="inlineStr"/>
      <c r="E18" s="17" t="inlineStr"/>
      <c r="F18" s="28" t="inlineStr">
        <is>
          <t>TODO</t>
        </is>
      </c>
      <c r="G18" s="17" t="inlineStr"/>
      <c r="H18" s="17" t="inlineStr"/>
      <c r="I18" s="17" t="inlineStr"/>
    </row>
    <row r="19">
      <c r="A19" s="22" t="inlineStr">
        <is>
          <t>3. FTE sheet</t>
        </is>
      </c>
      <c r="B19" s="23" t="n"/>
      <c r="C19" s="23" t="n"/>
      <c r="D19" s="23" t="n"/>
      <c r="E19" s="23" t="n"/>
      <c r="F19" s="23" t="n"/>
      <c r="G19" s="23" t="n"/>
      <c r="H19" s="23" t="n"/>
      <c r="I19" s="24" t="n"/>
    </row>
    <row r="20">
      <c r="A20" s="21" t="n">
        <v>13</v>
      </c>
      <c r="B20" s="25" t="inlineStr">
        <is>
          <t>3. FTE sheet</t>
        </is>
      </c>
      <c r="C20" s="25" t="inlineStr">
        <is>
          <t>FTE hours per year loaded correctly</t>
        </is>
      </c>
      <c r="D20" s="17" t="inlineStr"/>
      <c r="E20" s="17" t="inlineStr"/>
      <c r="F20" s="28" t="inlineStr">
        <is>
          <t>TODO</t>
        </is>
      </c>
      <c r="G20" s="17" t="inlineStr"/>
      <c r="H20" s="17" t="inlineStr"/>
      <c r="I20" s="17" t="inlineStr"/>
    </row>
    <row r="21">
      <c r="A21" s="21" t="n">
        <v>14</v>
      </c>
      <c r="B21" s="25" t="inlineStr">
        <is>
          <t>3. FTE sheet</t>
        </is>
      </c>
      <c r="C21" s="25" t="inlineStr">
        <is>
          <t>2-shift, 3-shift, 24/7 hours converted to monthly values</t>
        </is>
      </c>
      <c r="D21" s="17" t="inlineStr"/>
      <c r="E21" s="17" t="inlineStr"/>
      <c r="F21" s="28" t="inlineStr">
        <is>
          <t>TODO</t>
        </is>
      </c>
      <c r="G21" s="17" t="inlineStr"/>
      <c r="H21" s="17" t="inlineStr"/>
      <c r="I21" s="17" t="inlineStr"/>
    </row>
    <row r="22">
      <c r="A22" s="21" t="n">
        <v>15</v>
      </c>
      <c r="B22" s="25" t="inlineStr">
        <is>
          <t>3. FTE sheet</t>
        </is>
      </c>
      <c r="C22" s="25" t="inlineStr">
        <is>
          <t>Default shift name chosen from the second shift entry</t>
        </is>
      </c>
      <c r="D22" s="17" t="inlineStr"/>
      <c r="E22" s="17" t="inlineStr"/>
      <c r="F22" s="28" t="inlineStr">
        <is>
          <t>TODO</t>
        </is>
      </c>
      <c r="G22" s="17" t="inlineStr"/>
      <c r="H22" s="17" t="inlineStr"/>
      <c r="I22" s="17" t="inlineStr"/>
    </row>
    <row r="23">
      <c r="A23" s="21" t="n">
        <v>16</v>
      </c>
      <c r="B23" s="25" t="inlineStr">
        <is>
          <t>3. FTE sheet</t>
        </is>
      </c>
      <c r="C23" s="25" t="inlineStr">
        <is>
          <t>Missing values fall back to the 3-shift system</t>
        </is>
      </c>
      <c r="D23" s="17" t="inlineStr"/>
      <c r="E23" s="17" t="inlineStr"/>
      <c r="F23" s="28" t="inlineStr">
        <is>
          <t>TODO</t>
        </is>
      </c>
      <c r="G23" s="17" t="inlineStr"/>
      <c r="H23" s="17" t="inlineStr"/>
      <c r="I23" s="17" t="inlineStr"/>
    </row>
    <row r="24">
      <c r="A24" s="22" t="inlineStr">
        <is>
          <t>4. Material master</t>
        </is>
      </c>
      <c r="B24" s="23" t="n"/>
      <c r="C24" s="23" t="n"/>
      <c r="D24" s="23" t="n"/>
      <c r="E24" s="23" t="n"/>
      <c r="F24" s="23" t="n"/>
      <c r="G24" s="23" t="n"/>
      <c r="H24" s="23" t="n"/>
      <c r="I24" s="24" t="n"/>
    </row>
    <row r="25">
      <c r="A25" s="21" t="n">
        <v>17</v>
      </c>
      <c r="B25" s="25" t="inlineStr">
        <is>
          <t>4. Material master</t>
        </is>
      </c>
      <c r="C25" s="25" t="inlineStr">
        <is>
          <t>All material rows loaded</t>
        </is>
      </c>
      <c r="D25" s="17" t="inlineStr"/>
      <c r="E25" s="17" t="inlineStr"/>
      <c r="F25" s="28" t="inlineStr">
        <is>
          <t>TODO</t>
        </is>
      </c>
      <c r="G25" s="17" t="inlineStr"/>
      <c r="H25" s="17" t="inlineStr"/>
      <c r="I25" s="17" t="inlineStr"/>
    </row>
    <row r="26">
      <c r="A26" s="21" t="n">
        <v>18</v>
      </c>
      <c r="B26" s="25" t="inlineStr">
        <is>
          <t>4. Material master</t>
        </is>
      </c>
      <c r="C26" s="25" t="inlineStr">
        <is>
          <t>Material number (SKU) parsed and trimmed</t>
        </is>
      </c>
      <c r="D26" s="17" t="inlineStr"/>
      <c r="E26" s="17" t="inlineStr"/>
      <c r="F26" s="28" t="inlineStr">
        <is>
          <t>TODO</t>
        </is>
      </c>
      <c r="G26" s="17" t="inlineStr"/>
      <c r="H26" s="17" t="inlineStr"/>
      <c r="I26" s="17" t="inlineStr"/>
    </row>
    <row r="27">
      <c r="A27" s="21" t="n">
        <v>19</v>
      </c>
      <c r="B27" s="25" t="inlineStr">
        <is>
          <t>4. Material master</t>
        </is>
      </c>
      <c r="C27" s="25" t="inlineStr">
        <is>
          <t>Product type mapping works correctly</t>
        </is>
      </c>
      <c r="D27" s="17" t="inlineStr"/>
      <c r="E27" s="17" t="inlineStr"/>
      <c r="F27" s="28" t="inlineStr">
        <is>
          <t>TODO</t>
        </is>
      </c>
      <c r="G27" s="17" t="inlineStr"/>
      <c r="H27" s="17" t="inlineStr"/>
      <c r="I27" s="17" t="inlineStr"/>
    </row>
    <row r="28">
      <c r="A28" s="21" t="n">
        <v>20</v>
      </c>
      <c r="B28" s="25" t="inlineStr">
        <is>
          <t>4. Material master</t>
        </is>
      </c>
      <c r="C28" s="25" t="inlineStr">
        <is>
          <t>Active/inactive flag parsed correctly</t>
        </is>
      </c>
      <c r="D28" s="17" t="inlineStr"/>
      <c r="E28" s="17" t="inlineStr"/>
      <c r="F28" s="28" t="inlineStr">
        <is>
          <t>TODO</t>
        </is>
      </c>
      <c r="G28" s="17" t="inlineStr"/>
      <c r="H28" s="17" t="inlineStr"/>
      <c r="I28" s="17" t="inlineStr"/>
    </row>
    <row r="29">
      <c r="A29" s="21" t="n">
        <v>21</v>
      </c>
      <c r="B29" s="25" t="inlineStr">
        <is>
          <t>4. Material master</t>
        </is>
      </c>
      <c r="C29" s="25" t="inlineStr">
        <is>
          <t>Numeric fields (FTE requirements, Ton per truck, etc.) read safely</t>
        </is>
      </c>
      <c r="D29" s="17" t="inlineStr"/>
      <c r="E29" s="17" t="inlineStr"/>
      <c r="F29" s="28" t="inlineStr">
        <is>
          <t>TODO</t>
        </is>
      </c>
      <c r="G29" s="17" t="inlineStr"/>
      <c r="H29" s="17" t="inlineStr"/>
      <c r="I29" s="17" t="inlineStr"/>
    </row>
    <row r="30">
      <c r="A30" s="22" t="inlineStr">
        <is>
          <t>5. BOM</t>
        </is>
      </c>
      <c r="B30" s="23" t="n"/>
      <c r="C30" s="23" t="n"/>
      <c r="D30" s="23" t="n"/>
      <c r="E30" s="23" t="n"/>
      <c r="F30" s="23" t="n"/>
      <c r="G30" s="23" t="n"/>
      <c r="H30" s="23" t="n"/>
      <c r="I30" s="24" t="n"/>
    </row>
    <row r="31">
      <c r="A31" s="21" t="n">
        <v>22</v>
      </c>
      <c r="B31" s="25" t="inlineStr">
        <is>
          <t>5. BOM</t>
        </is>
      </c>
      <c r="C31" s="25" t="inlineStr">
        <is>
          <t>Parent/component rows loaded</t>
        </is>
      </c>
      <c r="D31" s="17" t="inlineStr"/>
      <c r="E31" s="17" t="inlineStr"/>
      <c r="F31" s="28" t="inlineStr">
        <is>
          <t>TODO</t>
        </is>
      </c>
      <c r="G31" s="17" t="inlineStr"/>
      <c r="H31" s="17" t="inlineStr"/>
      <c r="I31" s="17" t="inlineStr"/>
    </row>
    <row r="32">
      <c r="A32" s="21" t="n">
        <v>23</v>
      </c>
      <c r="B32" s="25" t="inlineStr">
        <is>
          <t>5. BOM</t>
        </is>
      </c>
      <c r="C32" s="25" t="inlineStr">
        <is>
          <t>Rows with missing parent/component skipped</t>
        </is>
      </c>
      <c r="D32" s="17" t="inlineStr"/>
      <c r="E32" s="17" t="inlineStr"/>
      <c r="F32" s="28" t="inlineStr">
        <is>
          <t>TODO</t>
        </is>
      </c>
      <c r="G32" s="17" t="inlineStr"/>
      <c r="H32" s="17" t="inlineStr"/>
      <c r="I32" s="17" t="inlineStr"/>
    </row>
    <row r="33">
      <c r="A33" s="21" t="n">
        <v>24</v>
      </c>
      <c r="B33" s="25" t="inlineStr">
        <is>
          <t>5. BOM</t>
        </is>
      </c>
      <c r="C33" s="25" t="inlineStr">
        <is>
          <t>BOM filtered on site</t>
        </is>
      </c>
      <c r="D33" s="17" t="inlineStr"/>
      <c r="E33" s="17" t="inlineStr"/>
      <c r="F33" s="28" t="inlineStr">
        <is>
          <t>TODO</t>
        </is>
      </c>
      <c r="G33" s="17" t="inlineStr"/>
      <c r="H33" s="17" t="inlineStr"/>
      <c r="I33" s="17" t="inlineStr"/>
    </row>
    <row r="34">
      <c r="A34" s="21" t="n">
        <v>25</v>
      </c>
      <c r="B34" s="25" t="inlineStr">
        <is>
          <t>5. BOM</t>
        </is>
      </c>
      <c r="C34" s="25" t="inlineStr">
        <is>
          <t>Zero or empty quantity skipped</t>
        </is>
      </c>
      <c r="D34" s="17" t="inlineStr"/>
      <c r="E34" s="17" t="inlineStr"/>
      <c r="F34" s="28" t="inlineStr">
        <is>
          <t>TODO</t>
        </is>
      </c>
      <c r="G34" s="17" t="inlineStr"/>
      <c r="H34" s="17" t="inlineStr"/>
      <c r="I34" s="17" t="inlineStr"/>
    </row>
    <row r="35">
      <c r="A35" s="21" t="n">
        <v>26</v>
      </c>
      <c r="B35" s="25" t="inlineStr">
        <is>
          <t>5. BOM</t>
        </is>
      </c>
      <c r="C35" s="25" t="inlineStr">
        <is>
          <t>BOM header quantity 0 → defaults to 1</t>
        </is>
      </c>
      <c r="D35" s="17" t="inlineStr"/>
      <c r="E35" s="17" t="inlineStr"/>
      <c r="F35" s="28" t="inlineStr">
        <is>
          <t>TODO</t>
        </is>
      </c>
      <c r="G35" s="17" t="inlineStr"/>
      <c r="H35" s="17" t="inlineStr"/>
      <c r="I35" s="17" t="inlineStr"/>
    </row>
    <row r="36">
      <c r="A36" s="21" t="n">
        <v>27</v>
      </c>
      <c r="B36" s="25" t="inlineStr">
        <is>
          <t>5. BOM</t>
        </is>
      </c>
      <c r="C36" s="25" t="inlineStr">
        <is>
          <t>quantity_per = BILLOFMATERIALITEMQUANTITY / BOM Header Quantity</t>
        </is>
      </c>
      <c r="D36" s="17" t="inlineStr"/>
      <c r="E36" s="17" t="inlineStr"/>
      <c r="F36" s="28" t="inlineStr">
        <is>
          <t>TODO</t>
        </is>
      </c>
      <c r="G36" s="17" t="inlineStr"/>
      <c r="H36" s="17" t="inlineStr"/>
      <c r="I36" s="17" t="inlineStr"/>
    </row>
    <row r="37">
      <c r="A37" s="21" t="n">
        <v>28</v>
      </c>
      <c r="B37" s="25" t="inlineStr">
        <is>
          <t>5. BOM</t>
        </is>
      </c>
      <c r="C37" s="25" t="inlineStr">
        <is>
          <t>Negative BOM quantities recognised as co-products</t>
        </is>
      </c>
      <c r="D37" s="17" t="inlineStr"/>
      <c r="E37" s="17" t="inlineStr"/>
      <c r="F37" s="28" t="inlineStr">
        <is>
          <t>TODO</t>
        </is>
      </c>
      <c r="G37" s="17" t="inlineStr"/>
      <c r="H37" s="17" t="inlineStr"/>
      <c r="I37" s="17" t="inlineStr"/>
    </row>
    <row r="38">
      <c r="A38" s="21" t="n">
        <v>29</v>
      </c>
      <c r="B38" s="25" t="inlineStr">
        <is>
          <t>5. BOM</t>
        </is>
      </c>
      <c r="C38" s="25" t="inlineStr">
        <is>
          <t>BOM explosion: Child_Demand = Parent_Demand × BOM_Quantity_Per</t>
        </is>
      </c>
      <c r="D38" s="17" t="inlineStr"/>
      <c r="E38" s="17" t="inlineStr"/>
      <c r="F38" s="28" t="inlineStr">
        <is>
          <t>TODO</t>
        </is>
      </c>
      <c r="G38" s="17" t="inlineStr"/>
      <c r="H38" s="17" t="inlineStr"/>
      <c r="I38" s="17" t="inlineStr"/>
    </row>
    <row r="39">
      <c r="A39" s="21" t="n">
        <v>30</v>
      </c>
      <c r="B39" s="25" t="inlineStr">
        <is>
          <t>5. BOM</t>
        </is>
      </c>
      <c r="C39" s="25" t="inlineStr">
        <is>
          <t>bom_levels calculation and highest BOM level count correct</t>
        </is>
      </c>
      <c r="D39" s="17" t="inlineStr"/>
      <c r="E39" s="17" t="inlineStr"/>
      <c r="F39" s="28" t="inlineStr">
        <is>
          <t>TODO</t>
        </is>
      </c>
      <c r="G39" s="17" t="inlineStr"/>
      <c r="H39" s="17" t="inlineStr"/>
      <c r="I39" s="17" t="inlineStr"/>
    </row>
    <row r="40">
      <c r="A40" s="22" t="inlineStr">
        <is>
          <t>6. OEE + Machine groups</t>
        </is>
      </c>
      <c r="B40" s="23" t="n"/>
      <c r="C40" s="23" t="n"/>
      <c r="D40" s="23" t="n"/>
      <c r="E40" s="23" t="n"/>
      <c r="F40" s="23" t="n"/>
      <c r="G40" s="23" t="n"/>
      <c r="H40" s="23" t="n"/>
      <c r="I40" s="24" t="n"/>
    </row>
    <row r="41">
      <c r="A41" s="21" t="n">
        <v>31</v>
      </c>
      <c r="B41" s="25" t="inlineStr">
        <is>
          <t>6. OEE + Machine groups</t>
        </is>
      </c>
      <c r="C41" s="25" t="inlineStr">
        <is>
          <t>OEE + Machine groups sheet: machines loaded</t>
        </is>
      </c>
      <c r="D41" s="17" t="inlineStr"/>
      <c r="E41" s="17" t="inlineStr"/>
      <c r="F41" s="28" t="inlineStr">
        <is>
          <t>TODO</t>
        </is>
      </c>
      <c r="G41" s="17" t="inlineStr"/>
      <c r="H41" s="17" t="inlineStr"/>
      <c r="I41" s="17" t="inlineStr"/>
    </row>
    <row r="42">
      <c r="A42" s="21" t="n">
        <v>32</v>
      </c>
      <c r="B42" s="25" t="inlineStr">
        <is>
          <t>6. OEE + Machine groups</t>
        </is>
      </c>
      <c r="C42" s="25" t="inlineStr">
        <is>
          <t>Machine groups read correctly</t>
        </is>
      </c>
      <c r="D42" s="17" t="inlineStr"/>
      <c r="E42" s="17" t="inlineStr"/>
      <c r="F42" s="28" t="inlineStr">
        <is>
          <t>TODO</t>
        </is>
      </c>
      <c r="G42" s="17" t="inlineStr"/>
      <c r="H42" s="17" t="inlineStr"/>
      <c r="I42" s="17" t="inlineStr"/>
    </row>
    <row r="43">
      <c r="A43" s="21" t="n">
        <v>33</v>
      </c>
      <c r="B43" s="25" t="inlineStr">
        <is>
          <t>6. OEE + Machine groups</t>
        </is>
      </c>
      <c r="C43" s="25" t="inlineStr">
        <is>
          <t>Period columns match the planning periods</t>
        </is>
      </c>
      <c r="D43" s="17" t="inlineStr"/>
      <c r="E43" s="17" t="inlineStr"/>
      <c r="F43" s="28" t="inlineStr">
        <is>
          <t>TODO</t>
        </is>
      </c>
      <c r="G43" s="17" t="inlineStr"/>
      <c r="H43" s="17" t="inlineStr"/>
      <c r="I43" s="17" t="inlineStr"/>
    </row>
    <row r="44">
      <c r="A44" s="22" t="inlineStr">
        <is>
          <t>7. Routing</t>
        </is>
      </c>
      <c r="B44" s="23" t="n"/>
      <c r="C44" s="23" t="n"/>
      <c r="D44" s="23" t="n"/>
      <c r="E44" s="23" t="n"/>
      <c r="F44" s="23" t="n"/>
      <c r="G44" s="23" t="n"/>
      <c r="H44" s="23" t="n"/>
      <c r="I44" s="24" t="n"/>
    </row>
    <row r="45">
      <c r="A45" s="21" t="n">
        <v>34</v>
      </c>
      <c r="B45" s="25" t="inlineStr">
        <is>
          <t>7. Routing</t>
        </is>
      </c>
      <c r="C45" s="25" t="inlineStr">
        <is>
          <t>Routing rows loaded</t>
        </is>
      </c>
      <c r="D45" s="17" t="inlineStr"/>
      <c r="E45" s="17" t="inlineStr"/>
      <c r="F45" s="28" t="inlineStr">
        <is>
          <t>TODO</t>
        </is>
      </c>
      <c r="G45" s="17" t="inlineStr"/>
      <c r="H45" s="17" t="inlineStr"/>
      <c r="I45" s="17" t="inlineStr"/>
    </row>
    <row r="46">
      <c r="A46" s="21" t="n">
        <v>35</v>
      </c>
      <c r="B46" s="25" t="inlineStr">
        <is>
          <t>7. Routing</t>
        </is>
      </c>
      <c r="C46" s="25" t="inlineStr">
        <is>
          <t>Unmatched work centers → warning, no crash</t>
        </is>
      </c>
      <c r="D46" s="17" t="inlineStr"/>
      <c r="E46" s="17" t="inlineStr"/>
      <c r="F46" s="28" t="inlineStr">
        <is>
          <t>TODO</t>
        </is>
      </c>
      <c r="G46" s="17" t="inlineStr"/>
      <c r="H46" s="17" t="inlineStr"/>
      <c r="I46" s="17" t="inlineStr"/>
    </row>
    <row r="47">
      <c r="A47" s="21" t="n">
        <v>36</v>
      </c>
      <c r="B47" s="25" t="inlineStr">
        <is>
          <t>7. Routing</t>
        </is>
      </c>
      <c r="C47" s="25" t="inlineStr">
        <is>
          <t>Machine-code matching between routing and OEE correct</t>
        </is>
      </c>
      <c r="D47" s="17" t="inlineStr"/>
      <c r="E47" s="17" t="inlineStr"/>
      <c r="F47" s="28" t="inlineStr">
        <is>
          <t>TODO</t>
        </is>
      </c>
      <c r="G47" s="17" t="inlineStr"/>
      <c r="H47" s="17" t="inlineStr"/>
      <c r="I47" s="17" t="inlineStr"/>
    </row>
    <row r="48">
      <c r="A48" s="22" t="inlineStr">
        <is>
          <t>8. Forecast sheet</t>
        </is>
      </c>
      <c r="B48" s="23" t="n"/>
      <c r="C48" s="23" t="n"/>
      <c r="D48" s="23" t="n"/>
      <c r="E48" s="23" t="n"/>
      <c r="F48" s="23" t="n"/>
      <c r="G48" s="23" t="n"/>
      <c r="H48" s="23" t="n"/>
      <c r="I48" s="24" t="n"/>
    </row>
    <row r="49">
      <c r="A49" s="21" t="n">
        <v>37</v>
      </c>
      <c r="B49" s="25" t="inlineStr">
        <is>
          <t>8. Forecast sheet</t>
        </is>
      </c>
      <c r="C49" s="25" t="inlineStr">
        <is>
          <t>Material rows loaded</t>
        </is>
      </c>
      <c r="D49" s="17" t="inlineStr"/>
      <c r="E49" s="17" t="inlineStr"/>
      <c r="F49" s="28" t="inlineStr">
        <is>
          <t>TODO</t>
        </is>
      </c>
      <c r="G49" s="17" t="inlineStr"/>
      <c r="H49" s="17" t="inlineStr"/>
      <c r="I49" s="17" t="inlineStr"/>
    </row>
    <row r="50">
      <c r="A50" s="21" t="n">
        <v>38</v>
      </c>
      <c r="B50" s="25" t="inlineStr">
        <is>
          <t>8. Forecast sheet</t>
        </is>
      </c>
      <c r="C50" s="25" t="inlineStr">
        <is>
          <t>First forecast period anchored correctly</t>
        </is>
      </c>
      <c r="D50" s="17" t="inlineStr"/>
      <c r="E50" s="17" t="inlineStr"/>
      <c r="F50" s="28" t="inlineStr">
        <is>
          <t>TODO</t>
        </is>
      </c>
      <c r="G50" s="17" t="inlineStr"/>
      <c r="H50" s="17" t="inlineStr"/>
      <c r="I50" s="17" t="inlineStr"/>
    </row>
    <row r="51">
      <c r="A51" s="21" t="n">
        <v>39</v>
      </c>
      <c r="B51" s="25" t="inlineStr">
        <is>
          <t>8. Forecast sheet</t>
        </is>
      </c>
      <c r="C51" s="25" t="inlineStr">
        <is>
          <t>Actuals and forecast periods mapped correctly to internal periods</t>
        </is>
      </c>
      <c r="D51" s="17" t="inlineStr"/>
      <c r="E51" s="17" t="inlineStr"/>
      <c r="F51" s="28" t="inlineStr">
        <is>
          <t>TODO</t>
        </is>
      </c>
      <c r="G51" s="17" t="inlineStr"/>
      <c r="H51" s="17" t="inlineStr"/>
      <c r="I51" s="17" t="inlineStr"/>
    </row>
    <row r="52">
      <c r="A52" s="21" t="n">
        <v>40</v>
      </c>
      <c r="B52" s="25" t="inlineStr">
        <is>
          <t>8. Forecast sheet</t>
        </is>
      </c>
      <c r="C52" s="25" t="inlineStr">
        <is>
          <t>months_actuals and months_forecast processed correctly</t>
        </is>
      </c>
      <c r="D52" s="17" t="inlineStr"/>
      <c r="E52" s="17" t="inlineStr"/>
      <c r="F52" s="28" t="inlineStr">
        <is>
          <t>TODO</t>
        </is>
      </c>
      <c r="G52" s="17" t="inlineStr"/>
      <c r="H52" s="17" t="inlineStr"/>
      <c r="I52" s="17" t="inlineStr"/>
    </row>
    <row r="53">
      <c r="A53" s="22" t="inlineStr">
        <is>
          <t>9. Stock level sheet</t>
        </is>
      </c>
      <c r="B53" s="23" t="n"/>
      <c r="C53" s="23" t="n"/>
      <c r="D53" s="23" t="n"/>
      <c r="E53" s="23" t="n"/>
      <c r="F53" s="23" t="n"/>
      <c r="G53" s="23" t="n"/>
      <c r="H53" s="23" t="n"/>
      <c r="I53" s="24" t="n"/>
    </row>
    <row r="54">
      <c r="A54" s="21" t="n">
        <v>41</v>
      </c>
      <c r="B54" s="25" t="inlineStr">
        <is>
          <t>9. Stock level sheet</t>
        </is>
      </c>
      <c r="C54" s="25" t="inlineStr">
        <is>
          <t>Stock level per material loaded</t>
        </is>
      </c>
      <c r="D54" s="17" t="inlineStr"/>
      <c r="E54" s="17" t="inlineStr"/>
      <c r="F54" s="28" t="inlineStr">
        <is>
          <t>TODO</t>
        </is>
      </c>
      <c r="G54" s="17" t="inlineStr"/>
      <c r="H54" s="17" t="inlineStr"/>
      <c r="I54" s="17" t="inlineStr"/>
    </row>
    <row r="55">
      <c r="A55" s="21" t="n">
        <v>42</v>
      </c>
      <c r="B55" s="25" t="inlineStr">
        <is>
          <t>9. Stock level sheet</t>
        </is>
      </c>
      <c r="C55" s="25" t="inlineStr">
        <is>
          <t>Starting stock values mapped correctly</t>
        </is>
      </c>
      <c r="D55" s="17" t="inlineStr"/>
      <c r="E55" s="17" t="inlineStr"/>
      <c r="F55" s="28" t="inlineStr">
        <is>
          <t>TODO</t>
        </is>
      </c>
      <c r="G55" s="17" t="inlineStr"/>
      <c r="H55" s="17" t="inlineStr"/>
      <c r="I55" s="17" t="inlineStr"/>
    </row>
    <row r="56">
      <c r="A56" s="22" t="inlineStr">
        <is>
          <t>10. Safety stock</t>
        </is>
      </c>
      <c r="B56" s="23" t="n"/>
      <c r="C56" s="23" t="n"/>
      <c r="D56" s="23" t="n"/>
      <c r="E56" s="23" t="n"/>
      <c r="F56" s="23" t="n"/>
      <c r="G56" s="23" t="n"/>
      <c r="H56" s="23" t="n"/>
      <c r="I56" s="24" t="n"/>
    </row>
    <row r="57">
      <c r="A57" s="21" t="n">
        <v>43</v>
      </c>
      <c r="B57" s="25" t="inlineStr">
        <is>
          <t>10. Safety stock</t>
        </is>
      </c>
      <c r="C57" s="25" t="inlineStr">
        <is>
          <t>Safety stock rows loaded</t>
        </is>
      </c>
      <c r="D57" s="17" t="inlineStr"/>
      <c r="E57" s="17" t="inlineStr"/>
      <c r="F57" s="28" t="inlineStr">
        <is>
          <t>TODO</t>
        </is>
      </c>
      <c r="G57" s="17" t="inlineStr"/>
      <c r="H57" s="17" t="inlineStr"/>
      <c r="I57" s="17" t="inlineStr"/>
    </row>
    <row r="58">
      <c r="A58" s="21" t="n">
        <v>44</v>
      </c>
      <c r="B58" s="25" t="inlineStr">
        <is>
          <t>10. Safety stock</t>
        </is>
      </c>
      <c r="C58" s="25" t="inlineStr">
        <is>
          <t>Both 'Final stafety stock' and 'Final safety stock' field names accepted</t>
        </is>
      </c>
      <c r="D58" s="17" t="inlineStr"/>
      <c r="E58" s="17" t="inlineStr"/>
      <c r="F58" s="28" t="inlineStr">
        <is>
          <t>TODO</t>
        </is>
      </c>
      <c r="G58" s="17" t="inlineStr"/>
      <c r="H58" s="17" t="inlineStr"/>
      <c r="I58" s="17" t="inlineStr"/>
    </row>
    <row r="59">
      <c r="A59" s="21" t="n">
        <v>45</v>
      </c>
      <c r="B59" s="25" t="inlineStr">
        <is>
          <t>10. Safety stock</t>
        </is>
      </c>
      <c r="C59" s="25" t="inlineStr">
        <is>
          <t>Default target stock values loaded</t>
        </is>
      </c>
      <c r="D59" s="17" t="inlineStr"/>
      <c r="E59" s="17" t="inlineStr"/>
      <c r="F59" s="28" t="inlineStr">
        <is>
          <t>TODO</t>
        </is>
      </c>
      <c r="G59" s="17" t="inlineStr"/>
      <c r="H59" s="17" t="inlineStr"/>
      <c r="I59" s="17" t="inlineStr"/>
    </row>
    <row r="60">
      <c r="A60" s="21" t="n">
        <v>46</v>
      </c>
      <c r="B60" s="25" t="inlineStr">
        <is>
          <t>10. Safety stock</t>
        </is>
      </c>
      <c r="C60" s="25" t="inlineStr">
        <is>
          <t>Safety-stock logic applied in the production plan</t>
        </is>
      </c>
      <c r="D60" s="17" t="inlineStr"/>
      <c r="E60" s="17" t="inlineStr"/>
      <c r="F60" s="28" t="inlineStr">
        <is>
          <t>TODO</t>
        </is>
      </c>
      <c r="G60" s="17" t="inlineStr"/>
      <c r="H60" s="17" t="inlineStr"/>
      <c r="I60" s="17" t="inlineStr"/>
    </row>
    <row r="61">
      <c r="A61" s="22" t="inlineStr">
        <is>
          <t>11. Purchase sheet</t>
        </is>
      </c>
      <c r="B61" s="23" t="n"/>
      <c r="C61" s="23" t="n"/>
      <c r="D61" s="23" t="n"/>
      <c r="E61" s="23" t="n"/>
      <c r="F61" s="23" t="n"/>
      <c r="G61" s="23" t="n"/>
      <c r="H61" s="23" t="n"/>
      <c r="I61" s="24" t="n"/>
    </row>
    <row r="62">
      <c r="A62" s="21" t="n">
        <v>47</v>
      </c>
      <c r="B62" s="25" t="inlineStr">
        <is>
          <t>11. Purchase sheet</t>
        </is>
      </c>
      <c r="C62" s="25" t="inlineStr">
        <is>
          <t>Lead time values loaded per material</t>
        </is>
      </c>
      <c r="D62" s="17" t="inlineStr"/>
      <c r="E62" s="17" t="inlineStr"/>
      <c r="F62" s="28" t="inlineStr">
        <is>
          <t>TODO</t>
        </is>
      </c>
      <c r="G62" s="17" t="inlineStr"/>
      <c r="H62" s="17" t="inlineStr"/>
      <c r="I62" s="17" t="inlineStr"/>
    </row>
    <row r="63">
      <c r="A63" s="21" t="n">
        <v>48</v>
      </c>
      <c r="B63" s="25" t="inlineStr">
        <is>
          <t>11. Purchase sheet</t>
        </is>
      </c>
      <c r="C63" s="25" t="inlineStr">
        <is>
          <t>MOQ values loaded</t>
        </is>
      </c>
      <c r="D63" s="17" t="inlineStr"/>
      <c r="E63" s="17" t="inlineStr"/>
      <c r="F63" s="28" t="inlineStr">
        <is>
          <t>TODO</t>
        </is>
      </c>
      <c r="G63" s="17" t="inlineStr"/>
      <c r="H63" s="17" t="inlineStr"/>
      <c r="I63" s="17" t="inlineStr"/>
    </row>
    <row r="64">
      <c r="A64" s="21" t="n">
        <v>49</v>
      </c>
      <c r="B64" s="25" t="inlineStr">
        <is>
          <t>11. Purchase sheet</t>
        </is>
      </c>
      <c r="C64" s="25" t="inlineStr">
        <is>
          <t>Purchase material list filled</t>
        </is>
      </c>
      <c r="D64" s="17" t="inlineStr"/>
      <c r="E64" s="17" t="inlineStr"/>
      <c r="F64" s="28" t="inlineStr">
        <is>
          <t>TODO</t>
        </is>
      </c>
      <c r="G64" s="17" t="inlineStr"/>
      <c r="H64" s="17" t="inlineStr"/>
      <c r="I64" s="17" t="inlineStr"/>
    </row>
    <row r="65">
      <c r="A65" s="21" t="n">
        <v>50</v>
      </c>
      <c r="B65" s="25" t="inlineStr">
        <is>
          <t>11. Purchase sheet</t>
        </is>
      </c>
      <c r="C65" s="25" t="inlineStr">
        <is>
          <t>Date columns parsed from the row-1 header</t>
        </is>
      </c>
      <c r="D65" s="17" t="inlineStr"/>
      <c r="E65" s="17" t="inlineStr"/>
      <c r="F65" s="28" t="inlineStr">
        <is>
          <t>TODO</t>
        </is>
      </c>
      <c r="G65" s="17" t="inlineStr"/>
      <c r="H65" s="17" t="inlineStr"/>
      <c r="I65" s="17" t="inlineStr"/>
    </row>
    <row r="66">
      <c r="A66" s="21" t="n">
        <v>51</v>
      </c>
      <c r="B66" s="25" t="inlineStr">
        <is>
          <t>11. Purchase sheet</t>
        </is>
      </c>
      <c r="C66" s="25" t="inlineStr">
        <is>
          <t>Material actuals read from rows 8+</t>
        </is>
      </c>
      <c r="D66" s="17" t="inlineStr"/>
      <c r="E66" s="17" t="inlineStr"/>
      <c r="F66" s="28" t="inlineStr">
        <is>
          <t>TODO</t>
        </is>
      </c>
      <c r="G66" s="17" t="inlineStr"/>
      <c r="H66" s="17" t="inlineStr"/>
      <c r="I66" s="17" t="inlineStr"/>
    </row>
    <row r="67">
      <c r="A67" s="21" t="n">
        <v>52</v>
      </c>
      <c r="B67" s="25" t="inlineStr">
        <is>
          <t>11. Purchase sheet</t>
        </is>
      </c>
      <c r="C67" s="25" t="inlineStr">
        <is>
          <t>get_purchase_moq(material) returns 1 for a missing material</t>
        </is>
      </c>
      <c r="D67" s="17" t="inlineStr"/>
      <c r="E67" s="17" t="inlineStr"/>
      <c r="F67" s="28" t="inlineStr">
        <is>
          <t>TODO</t>
        </is>
      </c>
      <c r="G67" s="17" t="inlineStr"/>
      <c r="H67" s="17" t="inlineStr"/>
      <c r="I67" s="17" t="inlineStr"/>
    </row>
    <row r="68">
      <c r="A68" s="21" t="n">
        <v>53</v>
      </c>
      <c r="B68" s="25" t="inlineStr">
        <is>
          <t>11. Purchase sheet</t>
        </is>
      </c>
      <c r="C68" s="25" t="inlineStr">
        <is>
          <t>Purchased-and-produced materials handled separately</t>
        </is>
      </c>
      <c r="D68" s="17" t="inlineStr"/>
      <c r="E68" s="17" t="inlineStr"/>
      <c r="F68" s="28" t="inlineStr">
        <is>
          <t>TODO</t>
        </is>
      </c>
      <c r="G68" s="17" t="inlineStr"/>
      <c r="H68" s="17" t="inlineStr"/>
      <c r="I68" s="17" t="inlineStr"/>
    </row>
    <row r="69">
      <c r="A69" s="22" t="inlineStr">
        <is>
          <t>12. Financial sheets</t>
        </is>
      </c>
      <c r="B69" s="23" t="n"/>
      <c r="C69" s="23" t="n"/>
      <c r="D69" s="23" t="n"/>
      <c r="E69" s="23" t="n"/>
      <c r="F69" s="23" t="n"/>
      <c r="G69" s="23" t="n"/>
      <c r="H69" s="23" t="n"/>
      <c r="I69" s="24" t="n"/>
    </row>
    <row r="70">
      <c r="A70" s="21" t="n">
        <v>54</v>
      </c>
      <c r="B70" s="25" t="inlineStr">
        <is>
          <t>12. Financial sheets</t>
        </is>
      </c>
      <c r="C70" s="25" t="inlineStr">
        <is>
          <t>Average sales price sheet read (when present)</t>
        </is>
      </c>
      <c r="D70" s="17" t="inlineStr"/>
      <c r="E70" s="17" t="inlineStr"/>
      <c r="F70" s="28" t="inlineStr">
        <is>
          <t>TODO</t>
        </is>
      </c>
      <c r="G70" s="17" t="inlineStr"/>
      <c r="H70" s="17" t="inlineStr"/>
      <c r="I70" s="17" t="inlineStr"/>
    </row>
    <row r="71">
      <c r="A71" s="21" t="n">
        <v>55</v>
      </c>
      <c r="B71" s="25" t="inlineStr">
        <is>
          <t>12. Financial sheets</t>
        </is>
      </c>
      <c r="C71" s="25" t="inlineStr">
        <is>
          <t>Cost raw material sheet read (when present)</t>
        </is>
      </c>
      <c r="D71" s="17" t="inlineStr"/>
      <c r="E71" s="17" t="inlineStr"/>
      <c r="F71" s="28" t="inlineStr">
        <is>
          <t>TODO</t>
        </is>
      </c>
      <c r="G71" s="17" t="inlineStr"/>
      <c r="H71" s="17" t="inlineStr"/>
      <c r="I71" s="17" t="inlineStr"/>
    </row>
    <row r="72">
      <c r="A72" s="21" t="n">
        <v>56</v>
      </c>
      <c r="B72" s="25" t="inlineStr">
        <is>
          <t>12. Financial sheets</t>
        </is>
      </c>
      <c r="C72" s="25" t="inlineStr">
        <is>
          <t>Cost machine hour sheet read (when present)</t>
        </is>
      </c>
      <c r="D72" s="17" t="inlineStr"/>
      <c r="E72" s="17" t="inlineStr"/>
      <c r="F72" s="28" t="inlineStr">
        <is>
          <t>TODO</t>
        </is>
      </c>
      <c r="G72" s="17" t="inlineStr"/>
      <c r="H72" s="17" t="inlineStr"/>
      <c r="I72" s="17" t="inlineStr"/>
    </row>
    <row r="73">
      <c r="A73" s="21" t="n">
        <v>57</v>
      </c>
      <c r="B73" s="25" t="inlineStr">
        <is>
          <t>12. Financial sheets</t>
        </is>
      </c>
      <c r="C73" s="25" t="inlineStr">
        <is>
          <t>Valuation parameters sheet read (when present)</t>
        </is>
      </c>
      <c r="D73" s="17" t="inlineStr"/>
      <c r="E73" s="17" t="inlineStr"/>
      <c r="F73" s="28" t="inlineStr">
        <is>
          <t>TODO</t>
        </is>
      </c>
      <c r="G73" s="17" t="inlineStr"/>
      <c r="H73" s="17" t="inlineStr"/>
      <c r="I73" s="17" t="inlineStr"/>
    </row>
    <row r="74">
      <c r="A74" s="21" t="n">
        <v>58</v>
      </c>
      <c r="B74" s="25" t="inlineStr">
        <is>
          <t>12. Financial sheets</t>
        </is>
      </c>
      <c r="C74" s="25" t="inlineStr">
        <is>
          <t>Missing financial sheets do not break the raw data load</t>
        </is>
      </c>
      <c r="D74" s="17" t="inlineStr"/>
      <c r="E74" s="17" t="inlineStr"/>
      <c r="F74" s="28" t="inlineStr">
        <is>
          <t>TODO</t>
        </is>
      </c>
      <c r="G74" s="17" t="inlineStr"/>
      <c r="H74" s="17" t="inlineStr"/>
      <c r="I74" s="17" t="inlineStr"/>
    </row>
    <row r="75">
      <c r="A75" s="22" t="inlineStr">
        <is>
          <t>13. Planning lines L01–L12</t>
        </is>
      </c>
      <c r="B75" s="23" t="n"/>
      <c r="C75" s="23" t="n"/>
      <c r="D75" s="23" t="n"/>
      <c r="E75" s="23" t="n"/>
      <c r="F75" s="23" t="n"/>
      <c r="G75" s="23" t="n"/>
      <c r="H75" s="23" t="n"/>
      <c r="I75" s="24" t="n"/>
    </row>
    <row r="76">
      <c r="A76" s="21" t="n">
        <v>59</v>
      </c>
      <c r="B76" s="25" t="inlineStr">
        <is>
          <t>13. Planning lines L01–L12</t>
        </is>
      </c>
      <c r="C76" s="25" t="inlineStr">
        <is>
          <t>L01 Demand forecast: correct forecast values per period</t>
        </is>
      </c>
      <c r="D76" s="17" t="inlineStr"/>
      <c r="E76" s="17" t="inlineStr"/>
      <c r="F76" s="28" t="inlineStr">
        <is>
          <t>TODO</t>
        </is>
      </c>
      <c r="G76" s="17" t="inlineStr"/>
      <c r="H76" s="17" t="inlineStr"/>
      <c r="I76" s="17" t="inlineStr"/>
    </row>
    <row r="77">
      <c r="A77" s="21" t="n">
        <v>60</v>
      </c>
      <c r="B77" s="25" t="inlineStr">
        <is>
          <t>13. Planning lines L01–L12</t>
        </is>
      </c>
      <c r="C77" s="25" t="inlineStr">
        <is>
          <t>L01 AUX1 = average actuals</t>
        </is>
      </c>
      <c r="D77" s="17" t="inlineStr"/>
      <c r="E77" s="17" t="inlineStr"/>
      <c r="F77" s="28" t="inlineStr">
        <is>
          <t>TODO</t>
        </is>
      </c>
      <c r="G77" s="17" t="inlineStr"/>
      <c r="H77" s="17" t="inlineStr"/>
      <c r="I77" s="17" t="inlineStr"/>
    </row>
    <row r="78">
      <c r="A78" s="21" t="n">
        <v>61</v>
      </c>
      <c r="B78" s="25" t="inlineStr">
        <is>
          <t>13. Planning lines L01–L12</t>
        </is>
      </c>
      <c r="C78" s="25" t="inlineStr">
        <is>
          <t>L01 AUX2 = average forecast</t>
        </is>
      </c>
      <c r="D78" s="17" t="inlineStr"/>
      <c r="E78" s="17" t="inlineStr"/>
      <c r="F78" s="28" t="inlineStr">
        <is>
          <t>TODO</t>
        </is>
      </c>
      <c r="G78" s="17" t="inlineStr"/>
      <c r="H78" s="17" t="inlineStr"/>
      <c r="I78" s="17" t="inlineStr"/>
    </row>
    <row r="79">
      <c r="A79" s="21" t="n">
        <v>62</v>
      </c>
      <c r="B79" s="25" t="inlineStr">
        <is>
          <t>13. Planning lines L01–L12</t>
        </is>
      </c>
      <c r="C79" s="25" t="inlineStr">
        <is>
          <t>L02 Dependent demand: child demand via BOM explosion correct</t>
        </is>
      </c>
      <c r="D79" s="17" t="inlineStr"/>
      <c r="E79" s="17" t="inlineStr"/>
      <c r="F79" s="28" t="inlineStr">
        <is>
          <t>TODO</t>
        </is>
      </c>
      <c r="G79" s="17" t="inlineStr"/>
      <c r="H79" s="17" t="inlineStr"/>
      <c r="I79" s="17" t="inlineStr"/>
    </row>
    <row r="80">
      <c r="A80" s="21" t="n">
        <v>63</v>
      </c>
      <c r="B80" s="25" t="inlineStr">
        <is>
          <t>13. Planning lines L01–L12</t>
        </is>
      </c>
      <c r="C80" s="25" t="inlineStr">
        <is>
          <t>L03 Total demand = L01 + Σ(L02) per material × period</t>
        </is>
      </c>
      <c r="D80" s="17" t="inlineStr"/>
      <c r="E80" s="17" t="inlineStr"/>
      <c r="F80" s="28" t="inlineStr">
        <is>
          <t>TODO</t>
        </is>
      </c>
      <c r="G80" s="17" t="inlineStr"/>
      <c r="H80" s="17" t="inlineStr"/>
      <c r="I80" s="17" t="inlineStr"/>
    </row>
    <row r="81">
      <c r="A81" s="21" t="n">
        <v>64</v>
      </c>
      <c r="B81" s="25" t="inlineStr">
        <is>
          <t>13. Planning lines L01–L12</t>
        </is>
      </c>
      <c r="C81" s="25" t="inlineStr">
        <is>
          <t>L04 Inventory: starting stock loaded, running balance correct</t>
        </is>
      </c>
      <c r="D81" s="17" t="inlineStr"/>
      <c r="E81" s="17" t="inlineStr"/>
      <c r="F81" s="28" t="inlineStr">
        <is>
          <t>TODO</t>
        </is>
      </c>
      <c r="G81" s="17" t="inlineStr"/>
      <c r="H81" s="17" t="inlineStr"/>
      <c r="I81" s="17" t="inlineStr"/>
    </row>
    <row r="82">
      <c r="A82" s="21" t="n">
        <v>65</v>
      </c>
      <c r="B82" s="25" t="inlineStr">
        <is>
          <t>13. Planning lines L01–L12</t>
        </is>
      </c>
      <c r="C82" s="25" t="inlineStr">
        <is>
          <t>L05 Minimum target stock: values and AUX1 output correct</t>
        </is>
      </c>
      <c r="D82" s="17" t="inlineStr"/>
      <c r="E82" s="17" t="inlineStr"/>
      <c r="F82" s="28" t="inlineStr">
        <is>
          <t>TODO</t>
        </is>
      </c>
      <c r="G82" s="17" t="inlineStr"/>
      <c r="H82" s="17" t="inlineStr"/>
      <c r="I82" s="17" t="inlineStr"/>
    </row>
    <row r="83">
      <c r="A83" s="21" t="n">
        <v>66</v>
      </c>
      <c r="B83" s="25" t="inlineStr">
        <is>
          <t>13. Planning lines L01–L12</t>
        </is>
      </c>
      <c r="C83" s="25" t="inlineStr">
        <is>
          <t>L06 Production plan: ceil((Target − (Stock − Demand)) / LotSize) × LotSize</t>
        </is>
      </c>
      <c r="D83" s="17" t="inlineStr"/>
      <c r="E83" s="17" t="inlineStr"/>
      <c r="F83" s="28" t="inlineStr">
        <is>
          <t>TODO</t>
        </is>
      </c>
      <c r="G83" s="17" t="inlineStr"/>
      <c r="H83" s="17" t="inlineStr"/>
      <c r="I83" s="17" t="inlineStr"/>
    </row>
    <row r="84">
      <c r="A84" s="21" t="n">
        <v>67</v>
      </c>
      <c r="B84" s="25" t="inlineStr">
        <is>
          <t>13. Planning lines L01–L12</t>
        </is>
      </c>
      <c r="C84" s="25" t="inlineStr">
        <is>
          <t>L06 Production plan = 0 when stock suffices</t>
        </is>
      </c>
      <c r="D84" s="17" t="inlineStr"/>
      <c r="E84" s="17" t="inlineStr"/>
      <c r="F84" s="28" t="inlineStr">
        <is>
          <t>TODO</t>
        </is>
      </c>
      <c r="G84" s="17" t="inlineStr"/>
      <c r="H84" s="17" t="inlineStr"/>
      <c r="I84" s="17" t="inlineStr"/>
    </row>
    <row r="85">
      <c r="A85" s="21" t="n">
        <v>68</v>
      </c>
      <c r="B85" s="25" t="inlineStr">
        <is>
          <t>13. Planning lines L01–L12</t>
        </is>
      </c>
      <c r="C85" s="25" t="inlineStr">
        <is>
          <t>L06 Purchase receipt: MOQ and lead times correct</t>
        </is>
      </c>
      <c r="D85" s="17" t="inlineStr"/>
      <c r="E85" s="17" t="inlineStr"/>
      <c r="F85" s="28" t="inlineStr">
        <is>
          <t>TODO</t>
        </is>
      </c>
      <c r="G85" s="17" t="inlineStr"/>
      <c r="H85" s="17" t="inlineStr"/>
      <c r="I85" s="17" t="inlineStr"/>
    </row>
    <row r="86">
      <c r="A86" s="21" t="n">
        <v>69</v>
      </c>
      <c r="B86" s="25" t="inlineStr">
        <is>
          <t>13. Planning lines L01–L12</t>
        </is>
      </c>
      <c r="C86" s="25" t="inlineStr">
        <is>
          <t>L06 Purchase receipt: only for purchased materials</t>
        </is>
      </c>
      <c r="D86" s="17" t="inlineStr"/>
      <c r="E86" s="17" t="inlineStr"/>
      <c r="F86" s="28" t="inlineStr">
        <is>
          <t>TODO</t>
        </is>
      </c>
      <c r="G86" s="17" t="inlineStr"/>
      <c r="H86" s="17" t="inlineStr"/>
      <c r="I86" s="17" t="inlineStr"/>
    </row>
    <row r="87">
      <c r="A87" s="21" t="n">
        <v>70</v>
      </c>
      <c r="B87" s="25" t="inlineStr">
        <is>
          <t>13. Planning lines L01–L12</t>
        </is>
      </c>
      <c r="C87" s="25" t="inlineStr">
        <is>
          <t>L06 Purchased + produced: residual logic correct</t>
        </is>
      </c>
      <c r="D87" s="17" t="inlineStr"/>
      <c r="E87" s="17" t="inlineStr"/>
      <c r="F87" s="28" t="inlineStr">
        <is>
          <t>TODO</t>
        </is>
      </c>
      <c r="G87" s="17" t="inlineStr"/>
      <c r="H87" s="17" t="inlineStr"/>
      <c r="I87" s="17" t="inlineStr"/>
    </row>
    <row r="88">
      <c r="A88" s="21" t="n">
        <v>71</v>
      </c>
      <c r="B88" s="25" t="inlineStr">
        <is>
          <t>13. Planning lines L01–L12</t>
        </is>
      </c>
      <c r="C88" s="25" t="inlineStr">
        <is>
          <t>L07 Purchase plan: receipts shifted correctly by lead time</t>
        </is>
      </c>
      <c r="D88" s="17" t="inlineStr"/>
      <c r="E88" s="17" t="inlineStr"/>
      <c r="F88" s="28" t="inlineStr">
        <is>
          <t>TODO</t>
        </is>
      </c>
      <c r="G88" s="17" t="inlineStr"/>
      <c r="H88" s="17" t="inlineStr"/>
      <c r="I88" s="17" t="inlineStr"/>
    </row>
    <row r="89">
      <c r="A89" s="21" t="n">
        <v>72</v>
      </c>
      <c r="B89" s="25" t="inlineStr">
        <is>
          <t>13. Planning lines L01–L12</t>
        </is>
      </c>
      <c r="C89" s="25" t="inlineStr">
        <is>
          <t>L07 Capacity utilization: Hours = (Prod_Qty / Base_Qty) × Std_Time</t>
        </is>
      </c>
      <c r="D89" s="17" t="inlineStr"/>
      <c r="E89" s="17" t="inlineStr"/>
      <c r="F89" s="28" t="inlineStr">
        <is>
          <t>TODO</t>
        </is>
      </c>
      <c r="G89" s="17" t="inlineStr"/>
      <c r="H89" s="17" t="inlineStr"/>
      <c r="I89" s="17" t="inlineStr"/>
    </row>
    <row r="90">
      <c r="A90" s="21" t="n">
        <v>73</v>
      </c>
      <c r="B90" s="25" t="inlineStr">
        <is>
          <t>13. Planning lines L01–L12</t>
        </is>
      </c>
      <c r="C90" s="25" t="inlineStr">
        <is>
          <t>L08 Dependent requirements: correct dependent requirements</t>
        </is>
      </c>
      <c r="D90" s="17" t="inlineStr"/>
      <c r="E90" s="17" t="inlineStr"/>
      <c r="F90" s="28" t="inlineStr">
        <is>
          <t>TODO</t>
        </is>
      </c>
      <c r="G90" s="17" t="inlineStr"/>
      <c r="H90" s="17" t="inlineStr"/>
      <c r="I90" s="17" t="inlineStr"/>
    </row>
    <row r="91">
      <c r="A91" s="21" t="n">
        <v>74</v>
      </c>
      <c r="B91" s="25" t="inlineStr">
        <is>
          <t>13. Planning lines L01–L12</t>
        </is>
      </c>
      <c r="C91" s="25" t="inlineStr">
        <is>
          <t>L09 Available capacity: shift hours × machine availability</t>
        </is>
      </c>
      <c r="D91" s="17" t="inlineStr"/>
      <c r="E91" s="17" t="inlineStr"/>
      <c r="F91" s="28" t="inlineStr">
        <is>
          <t>TODO</t>
        </is>
      </c>
      <c r="G91" s="17" t="inlineStr"/>
      <c r="H91" s="17" t="inlineStr"/>
      <c r="I91" s="17" t="inlineStr"/>
    </row>
    <row r="92">
      <c r="A92" s="21" t="n">
        <v>75</v>
      </c>
      <c r="B92" s="25" t="inlineStr">
        <is>
          <t>13. Planning lines L01–L12</t>
        </is>
      </c>
      <c r="C92" s="25" t="inlineStr">
        <is>
          <t>L10 Utilization rate = Hours_Used / Hours_Available</t>
        </is>
      </c>
      <c r="D92" s="17" t="inlineStr"/>
      <c r="E92" s="17" t="inlineStr"/>
      <c r="F92" s="28" t="inlineStr">
        <is>
          <t>TODO</t>
        </is>
      </c>
      <c r="G92" s="17" t="inlineStr"/>
      <c r="H92" s="17" t="inlineStr"/>
      <c r="I92" s="17" t="inlineStr"/>
    </row>
    <row r="93">
      <c r="A93" s="21" t="n">
        <v>76</v>
      </c>
      <c r="B93" s="25" t="inlineStr">
        <is>
          <t>13. Planning lines L01–L12</t>
        </is>
      </c>
      <c r="C93" s="25" t="inlineStr">
        <is>
          <t>L11 Shift availability: calculated correctly</t>
        </is>
      </c>
      <c r="D93" s="17" t="inlineStr"/>
      <c r="E93" s="17" t="inlineStr"/>
      <c r="F93" s="28" t="inlineStr">
        <is>
          <t>TODO</t>
        </is>
      </c>
      <c r="G93" s="17" t="inlineStr"/>
      <c r="H93" s="17" t="inlineStr"/>
      <c r="I93" s="17" t="inlineStr"/>
    </row>
    <row r="94">
      <c r="A94" s="21" t="n">
        <v>77</v>
      </c>
      <c r="B94" s="25" t="inlineStr">
        <is>
          <t>13. Planning lines L01–L12</t>
        </is>
      </c>
      <c r="C94" s="25" t="inlineStr">
        <is>
          <t>L12 FTE requirements = Total_Hours / (FTE_Hours / 12)</t>
        </is>
      </c>
      <c r="D94" s="17" t="inlineStr"/>
      <c r="E94" s="17" t="inlineStr"/>
      <c r="F94" s="28" t="inlineStr">
        <is>
          <t>TODO</t>
        </is>
      </c>
      <c r="G94" s="17" t="inlineStr"/>
      <c r="H94" s="17" t="inlineStr"/>
      <c r="I94" s="17" t="inlineStr"/>
    </row>
    <row r="95">
      <c r="A95" s="22" t="inlineStr">
        <is>
          <t>14. Export</t>
        </is>
      </c>
      <c r="B95" s="23" t="n"/>
      <c r="C95" s="23" t="n"/>
      <c r="D95" s="23" t="n"/>
      <c r="E95" s="23" t="n"/>
      <c r="F95" s="23" t="n"/>
      <c r="G95" s="23" t="n"/>
      <c r="H95" s="23" t="n"/>
      <c r="I95" s="24" t="n"/>
    </row>
    <row r="96">
      <c r="A96" s="21" t="n">
        <v>78</v>
      </c>
      <c r="B96" s="25" t="inlineStr">
        <is>
          <t>14. Export</t>
        </is>
      </c>
      <c r="C96" s="25" t="inlineStr">
        <is>
          <t>engine.to_dataframe() returns all expected rows</t>
        </is>
      </c>
      <c r="D96" s="17" t="inlineStr"/>
      <c r="E96" s="17" t="inlineStr"/>
      <c r="F96" s="28" t="inlineStr">
        <is>
          <t>TODO</t>
        </is>
      </c>
      <c r="G96" s="17" t="inlineStr"/>
      <c r="H96" s="17" t="inlineStr"/>
      <c r="I96" s="17" t="inlineStr"/>
    </row>
    <row r="97">
      <c r="A97" s="21" t="n">
        <v>79</v>
      </c>
      <c r="B97" s="25" t="inlineStr">
        <is>
          <t>14. Export</t>
        </is>
      </c>
      <c r="C97" s="25" t="inlineStr">
        <is>
          <t>Period columns in YYYY-MM format</t>
        </is>
      </c>
      <c r="D97" s="17" t="inlineStr"/>
      <c r="E97" s="17" t="inlineStr"/>
      <c r="F97" s="28" t="inlineStr">
        <is>
          <t>TODO</t>
        </is>
      </c>
      <c r="G97" s="17" t="inlineStr"/>
      <c r="H97" s="17" t="inlineStr"/>
      <c r="I97" s="17" t="inlineStr"/>
    </row>
    <row r="98">
      <c r="A98" s="21" t="n">
        <v>80</v>
      </c>
      <c r="B98" s="25" t="inlineStr">
        <is>
          <t>14. Export</t>
        </is>
      </c>
      <c r="C98" s="25" t="inlineStr">
        <is>
          <t>engine.to_excel_with_values() creates a correct xlsx file</t>
        </is>
      </c>
      <c r="D98" s="17" t="inlineStr"/>
      <c r="E98" s="17" t="inlineStr"/>
      <c r="F98" s="28" t="inlineStr">
        <is>
          <t>TODO</t>
        </is>
      </c>
      <c r="G98" s="17" t="inlineStr"/>
      <c r="H98" s="17" t="inlineStr"/>
      <c r="I98" s="17" t="inlineStr"/>
    </row>
    <row r="99">
      <c r="A99" s="21" t="n">
        <v>81</v>
      </c>
      <c r="B99" s="25" t="inlineStr">
        <is>
          <t>14. Export</t>
        </is>
      </c>
      <c r="C99" s="25" t="inlineStr">
        <is>
          <t>Previous cycle sheet included when supplied</t>
        </is>
      </c>
      <c r="D99" s="17" t="inlineStr"/>
      <c r="E99" s="17" t="inlineStr"/>
      <c r="F99" s="28" t="inlineStr">
        <is>
          <t>TODO</t>
        </is>
      </c>
      <c r="G99" s="17" t="inlineStr"/>
      <c r="H99" s="17" t="inlineStr"/>
      <c r="I99" s="17" t="inlineStr"/>
    </row>
    <row r="100">
      <c r="A100" s="21" t="n">
        <v>82</v>
      </c>
      <c r="B100" s="25" t="inlineStr">
        <is>
          <t>14. Export</t>
        </is>
      </c>
      <c r="C100" s="25" t="inlineStr">
        <is>
          <t>DatabaseExporter.export_to_dataframe() returns a DB-ready flat table</t>
        </is>
      </c>
      <c r="D100" s="17" t="inlineStr"/>
      <c r="E100" s="17" t="inlineStr"/>
      <c r="F100" s="28" t="inlineStr">
        <is>
          <t>TODO</t>
        </is>
      </c>
      <c r="G100" s="17" t="inlineStr"/>
      <c r="H100" s="17" t="inlineStr"/>
      <c r="I100" s="17" t="inlineStr"/>
    </row>
    <row r="101">
      <c r="A101" s="21" t="n">
        <v>83</v>
      </c>
      <c r="B101" s="25" t="inlineStr">
        <is>
          <t>14. Export</t>
        </is>
      </c>
      <c r="C101" s="25" t="inlineStr">
        <is>
          <t>DatabaseExporter.export_to_excel(writer) writes the sheet correctly</t>
        </is>
      </c>
      <c r="D101" s="17" t="inlineStr"/>
      <c r="E101" s="17" t="inlineStr"/>
      <c r="F101" s="28" t="inlineStr">
        <is>
          <t>TODO</t>
        </is>
      </c>
      <c r="G101" s="17" t="inlineStr"/>
      <c r="H101" s="17" t="inlineStr"/>
      <c r="I101" s="17" t="inlineStr"/>
    </row>
    <row r="102">
      <c r="A102" s="22" t="inlineStr">
        <is>
          <t>15. Cycle management &amp; MoM</t>
        </is>
      </c>
      <c r="B102" s="23" t="n"/>
      <c r="C102" s="23" t="n"/>
      <c r="D102" s="23" t="n"/>
      <c r="E102" s="23" t="n"/>
      <c r="F102" s="23" t="n"/>
      <c r="G102" s="23" t="n"/>
      <c r="H102" s="23" t="n"/>
      <c r="I102" s="24" t="n"/>
    </row>
    <row r="103">
      <c r="A103" s="21" t="n">
        <v>84</v>
      </c>
      <c r="B103" s="25" t="inlineStr">
        <is>
          <t>15. Cycle management &amp; MoM</t>
        </is>
      </c>
      <c r="C103" s="25" t="inlineStr">
        <is>
          <t>CycleManager.load_previous_cycle() returns the previous snapshot</t>
        </is>
      </c>
      <c r="D103" s="17" t="inlineStr"/>
      <c r="E103" s="17" t="inlineStr"/>
      <c r="F103" s="28" t="inlineStr">
        <is>
          <t>TODO</t>
        </is>
      </c>
      <c r="G103" s="17" t="inlineStr"/>
      <c r="H103" s="17" t="inlineStr"/>
      <c r="I103" s="17" t="inlineStr"/>
    </row>
    <row r="104">
      <c r="A104" s="21" t="n">
        <v>85</v>
      </c>
      <c r="B104" s="25" t="inlineStr">
        <is>
          <t>15. Cycle management &amp; MoM</t>
        </is>
      </c>
      <c r="C104" s="25" t="inlineStr">
        <is>
          <t>CycleManager.save_current_as_previous() stores the result</t>
        </is>
      </c>
      <c r="D104" s="17" t="inlineStr"/>
      <c r="E104" s="17" t="inlineStr"/>
      <c r="F104" s="28" t="inlineStr">
        <is>
          <t>TODO</t>
        </is>
      </c>
      <c r="G104" s="17" t="inlineStr"/>
      <c r="H104" s="17" t="inlineStr"/>
      <c r="I104" s="17" t="inlineStr"/>
    </row>
    <row r="105">
      <c r="A105" s="21" t="n">
        <v>86</v>
      </c>
      <c r="B105" s="25" t="inlineStr">
        <is>
          <t>15. Cycle management &amp; MoM</t>
        </is>
      </c>
      <c r="C105" s="25" t="inlineStr">
        <is>
          <t>MoMComparisonEngine.calculate() returns delta rows on overlap</t>
        </is>
      </c>
      <c r="D105" s="17" t="inlineStr"/>
      <c r="E105" s="17" t="inlineStr"/>
      <c r="F105" s="28" t="inlineStr">
        <is>
          <t>TODO</t>
        </is>
      </c>
      <c r="G105" s="17" t="inlineStr"/>
      <c r="H105" s="17" t="inlineStr"/>
      <c r="I105" s="17" t="inlineStr"/>
    </row>
    <row r="106">
      <c r="A106" s="21" t="n">
        <v>87</v>
      </c>
      <c r="B106" s="25" t="inlineStr">
        <is>
          <t>15. Cycle management &amp; MoM</t>
        </is>
      </c>
      <c r="C106" s="25" t="inlineStr">
        <is>
          <t>MoMComparisonEngine.create_scatter_data() returns the scatter payload</t>
        </is>
      </c>
      <c r="D106" s="17" t="inlineStr"/>
      <c r="E106" s="17" t="inlineStr"/>
      <c r="F106" s="28" t="inlineStr">
        <is>
          <t>TODO</t>
        </is>
      </c>
      <c r="G106" s="17" t="inlineStr"/>
      <c r="H106" s="17" t="inlineStr"/>
      <c r="I106" s="17" t="inlineStr"/>
    </row>
    <row r="107">
      <c r="A107" s="22" t="inlineStr">
        <is>
          <t>16. Shutdown / restart</t>
        </is>
      </c>
      <c r="B107" s="23" t="n"/>
      <c r="C107" s="23" t="n"/>
      <c r="D107" s="23" t="n"/>
      <c r="E107" s="23" t="n"/>
      <c r="F107" s="23" t="n"/>
      <c r="G107" s="23" t="n"/>
      <c r="H107" s="23" t="n"/>
      <c r="I107" s="24" t="n"/>
    </row>
    <row r="108">
      <c r="A108" s="21" t="n">
        <v>88</v>
      </c>
      <c r="B108" s="25" t="inlineStr">
        <is>
          <t>16. Shutdown / restart</t>
        </is>
      </c>
      <c r="C108" s="25" t="inlineStr">
        <is>
          <t>Close the application after calculation — no crash or data loss</t>
        </is>
      </c>
      <c r="D108" s="17" t="inlineStr"/>
      <c r="E108" s="17" t="inlineStr"/>
      <c r="F108" s="28" t="inlineStr">
        <is>
          <t>TODO</t>
        </is>
      </c>
      <c r="G108" s="17" t="inlineStr"/>
      <c r="H108" s="17" t="inlineStr"/>
      <c r="I108" s="17" t="inlineStr"/>
    </row>
    <row r="109">
      <c r="A109" s="21" t="n">
        <v>89</v>
      </c>
      <c r="B109" s="25" t="inlineStr">
        <is>
          <t>16. Shutdown / restart</t>
        </is>
      </c>
      <c r="C109" s="25" t="inlineStr">
        <is>
          <t>Reopen the application — session/state restored correctly</t>
        </is>
      </c>
      <c r="D109" s="17" t="inlineStr"/>
      <c r="E109" s="17" t="inlineStr"/>
      <c r="F109" s="28" t="inlineStr">
        <is>
          <t>TODO</t>
        </is>
      </c>
      <c r="G109" s="17" t="inlineStr"/>
      <c r="H109" s="17" t="inlineStr"/>
      <c r="I109" s="17" t="inlineStr"/>
    </row>
    <row r="110">
      <c r="A110" s="21" t="n">
        <v>90</v>
      </c>
      <c r="B110" s="25" t="inlineStr">
        <is>
          <t>16. Shutdown / restart</t>
        </is>
      </c>
      <c r="C110" s="25" t="inlineStr">
        <is>
          <t>Previous cycle data still available after restart</t>
        </is>
      </c>
      <c r="D110" s="17" t="inlineStr"/>
      <c r="E110" s="17" t="inlineStr"/>
      <c r="F110" s="28" t="inlineStr">
        <is>
          <t>TODO</t>
        </is>
      </c>
      <c r="G110" s="17" t="inlineStr"/>
      <c r="H110" s="17" t="inlineStr"/>
      <c r="I110" s="17" t="inlineStr"/>
    </row>
    <row r="111">
      <c r="A111" s="21" t="n">
        <v>91</v>
      </c>
      <c r="B111" s="25" t="inlineStr">
        <is>
          <t>16. Shutdown / restart</t>
        </is>
      </c>
      <c r="C111" s="25" t="inlineStr">
        <is>
          <t>CycleManager loads the previous snapshot correctly after restart</t>
        </is>
      </c>
      <c r="D111" s="17" t="inlineStr"/>
      <c r="E111" s="17" t="inlineStr"/>
      <c r="F111" s="28" t="inlineStr">
        <is>
          <t>TODO</t>
        </is>
      </c>
      <c r="G111" s="17" t="inlineStr"/>
      <c r="H111" s="17" t="inlineStr"/>
      <c r="I111" s="17" t="inlineStr"/>
    </row>
    <row r="112">
      <c r="A112" s="21" t="n">
        <v>92</v>
      </c>
      <c r="B112" s="25" t="inlineStr">
        <is>
          <t>16. Shutdown / restart</t>
        </is>
      </c>
      <c r="C112" s="25" t="inlineStr">
        <is>
          <t>MoM comparison works correctly after session restart</t>
        </is>
      </c>
      <c r="D112" s="17" t="inlineStr"/>
      <c r="E112" s="17" t="inlineStr"/>
      <c r="F112" s="28" t="inlineStr">
        <is>
          <t>TODO</t>
        </is>
      </c>
      <c r="G112" s="17" t="inlineStr"/>
      <c r="H112" s="17" t="inlineStr"/>
      <c r="I112" s="17" t="inlineStr"/>
    </row>
    <row r="113">
      <c r="A113" s="21" t="n">
        <v>93</v>
      </c>
      <c r="B113" s="25" t="inlineStr">
        <is>
          <t>16. Shutdown / restart</t>
        </is>
      </c>
      <c r="C113" s="25" t="inlineStr">
        <is>
          <t>Export files (Excel, DB) still accessible after restart</t>
        </is>
      </c>
      <c r="D113" s="17" t="inlineStr"/>
      <c r="E113" s="17" t="inlineStr"/>
      <c r="F113" s="28" t="inlineStr">
        <is>
          <t>TODO</t>
        </is>
      </c>
      <c r="G113" s="17" t="inlineStr"/>
      <c r="H113" s="17" t="inlineStr"/>
      <c r="I113" s="17" t="inlineStr"/>
    </row>
    <row r="114">
      <c r="A114" s="21" t="n">
        <v>94</v>
      </c>
      <c r="B114" s="25" t="inlineStr">
        <is>
          <t>16. Shutdown / restart</t>
        </is>
      </c>
      <c r="C114" s="25" t="inlineStr">
        <is>
          <t>No corrupt or incomplete files after abrupt shutdown</t>
        </is>
      </c>
      <c r="D114" s="17" t="inlineStr"/>
      <c r="E114" s="17" t="inlineStr"/>
      <c r="F114" s="28" t="inlineStr">
        <is>
          <t>TODO</t>
        </is>
      </c>
      <c r="G114" s="17" t="inlineStr"/>
      <c r="H114" s="17" t="inlineStr"/>
      <c r="I114" s="17" t="inlineStr"/>
    </row>
    <row r="115">
      <c r="A115" s="21" t="n">
        <v>95</v>
      </c>
      <c r="B115" s="25" t="inlineStr">
        <is>
          <t>16. Shutdown / restart</t>
        </is>
      </c>
      <c r="C115" s="25" t="inlineStr">
        <is>
          <t>Several consecutive close/reopen cycles — data stays consistent</t>
        </is>
      </c>
      <c r="D115" s="17" t="inlineStr"/>
      <c r="E115" s="17" t="inlineStr"/>
      <c r="F115" s="28" t="inlineStr">
        <is>
          <t>TODO</t>
        </is>
      </c>
      <c r="G115" s="17" t="inlineStr"/>
      <c r="H115" s="17" t="inlineStr"/>
      <c r="I115" s="17" t="inlineStr"/>
    </row>
    <row r="116">
      <c r="A116" s="22" t="inlineStr">
        <is>
          <t>17. Comparison with the Excel model (ground truth)</t>
        </is>
      </c>
      <c r="B116" s="23" t="n"/>
      <c r="C116" s="23" t="n"/>
      <c r="D116" s="23" t="n"/>
      <c r="E116" s="23" t="n"/>
      <c r="F116" s="23" t="n"/>
      <c r="G116" s="23" t="n"/>
      <c r="H116" s="23" t="n"/>
      <c r="I116" s="24" t="n"/>
    </row>
    <row r="117">
      <c r="A117" s="21" t="n">
        <v>96</v>
      </c>
      <c r="B117" s="25" t="inlineStr">
        <is>
          <t>17. Comparison with the Excel model (ground truth)</t>
        </is>
      </c>
      <c r="C117" s="25" t="inlineStr">
        <is>
          <t>Planning sheet vs. generated volume planning compared (ground_truth_diff)</t>
        </is>
      </c>
      <c r="D117" s="17" t="inlineStr"/>
      <c r="E117" s="17" t="inlineStr"/>
      <c r="F117" s="28" t="inlineStr">
        <is>
          <t>TODO</t>
        </is>
      </c>
      <c r="G117" s="17" t="inlineStr"/>
      <c r="H117" s="17" t="inlineStr"/>
      <c r="I117" s="17" t="inlineStr"/>
    </row>
    <row r="118">
      <c r="A118" s="21" t="n">
        <v>97</v>
      </c>
      <c r="B118" s="25" t="inlineStr">
        <is>
          <t>17. Comparison with the Excel model (ground truth)</t>
        </is>
      </c>
      <c r="C118" s="25" t="inlineStr">
        <is>
          <t>Values_Planning sheet vs. generated value planning compared</t>
        </is>
      </c>
      <c r="D118" s="17" t="inlineStr"/>
      <c r="E118" s="17" t="inlineStr"/>
      <c r="F118" s="28" t="inlineStr">
        <is>
          <t>TODO</t>
        </is>
      </c>
      <c r="G118" s="17" t="inlineStr"/>
      <c r="H118" s="17" t="inlineStr"/>
      <c r="I118" s="17" t="inlineStr"/>
    </row>
    <row r="119">
      <c r="A119" s="21" t="n">
        <v>98</v>
      </c>
      <c r="B119" s="25" t="inlineStr">
        <is>
          <t>17. Comparison with the Excel model (ground truth)</t>
        </is>
      </c>
      <c r="C119" s="25" t="inlineStr">
        <is>
          <t>AUX column comparison: L01 Aux1, L01 Aux2, L05 Aux1 (informational, --compare-aux)</t>
        </is>
      </c>
      <c r="D119" s="17" t="inlineStr"/>
      <c r="E119" s="17" t="inlineStr"/>
      <c r="F119" s="28" t="inlineStr">
        <is>
          <t>TODO</t>
        </is>
      </c>
      <c r="G119" s="17" t="inlineStr"/>
      <c r="H119" s="17" t="inlineStr"/>
      <c r="I119" s="17" t="inlineStr"/>
    </row>
    <row r="120">
      <c r="A120" s="21" t="n">
        <v>99</v>
      </c>
      <c r="B120" s="25" t="inlineStr">
        <is>
          <t>17. Comparison with the Excel model (ground truth)</t>
        </is>
      </c>
      <c r="C120" s="25" t="inlineStr">
        <is>
          <t>Period cell comparison: coverage and mismatch count</t>
        </is>
      </c>
      <c r="D120" s="17" t="inlineStr"/>
      <c r="E120" s="17" t="inlineStr"/>
      <c r="F120" s="28" t="inlineStr">
        <is>
          <t>TODO</t>
        </is>
      </c>
      <c r="G120" s="17" t="inlineStr"/>
      <c r="H120" s="17" t="inlineStr"/>
      <c r="I120" s="17" t="inlineStr"/>
    </row>
    <row r="121">
      <c r="A121" s="21" t="n">
        <v>100</v>
      </c>
      <c r="B121" s="25" t="inlineStr">
        <is>
          <t>17. Comparison with the Excel model (ground truth)</t>
        </is>
      </c>
      <c r="C121" s="25" t="inlineStr">
        <is>
          <t>Starting stock comparison correct</t>
        </is>
      </c>
      <c r="D121" s="17" t="inlineStr"/>
      <c r="E121" s="17" t="inlineStr"/>
      <c r="F121" s="28" t="inlineStr">
        <is>
          <t>TODO</t>
        </is>
      </c>
      <c r="G121" s="17" t="inlineStr"/>
      <c r="H121" s="17" t="inlineStr"/>
      <c r="I121" s="17" t="inlineStr"/>
    </row>
    <row r="122">
      <c r="A122" s="21" t="n">
        <v>101</v>
      </c>
      <c r="B122" s="25" t="inlineStr">
        <is>
          <t>17. Comparison with the Excel model (ground truth)</t>
        </is>
      </c>
      <c r="C122" s="25" t="inlineStr">
        <is>
          <t>Value planning line types correct</t>
        </is>
      </c>
      <c r="D122" s="17" t="inlineStr"/>
      <c r="E122" s="17" t="inlineStr"/>
      <c r="F122" s="28" t="inlineStr">
        <is>
          <t>TODO</t>
        </is>
      </c>
      <c r="G122" s="17" t="inlineStr"/>
      <c r="H122" s="17" t="inlineStr"/>
      <c r="I122" s="17" t="inlineStr"/>
    </row>
    <row r="123">
      <c r="A123" s="21" t="n">
        <v>102</v>
      </c>
      <c r="B123" s="25" t="inlineStr">
        <is>
          <t>17. Comparison with the Excel model (ground truth)</t>
        </is>
      </c>
      <c r="C123" s="25" t="inlineStr">
        <is>
          <t>Top-N mismatch report generated</t>
        </is>
      </c>
      <c r="D123" s="17" t="inlineStr"/>
      <c r="E123" s="17" t="inlineStr"/>
      <c r="F123" s="28" t="inlineStr">
        <is>
          <t>TODO</t>
        </is>
      </c>
      <c r="G123" s="17" t="inlineStr"/>
      <c r="H123" s="17" t="inlineStr"/>
      <c r="I123" s="17" t="inlineStr"/>
    </row>
    <row r="124">
      <c r="A124" s="21" t="n">
        <v>103</v>
      </c>
      <c r="B124" s="25" t="inlineStr">
        <is>
          <t>17. Comparison with the Excel model (ground truth)</t>
        </is>
      </c>
      <c r="C124" s="25" t="inlineStr">
        <is>
          <t>No NaN values in period columns</t>
        </is>
      </c>
      <c r="D124" s="17" t="inlineStr"/>
      <c r="E124" s="17" t="inlineStr"/>
      <c r="F124" s="28" t="inlineStr">
        <is>
          <t>TODO</t>
        </is>
      </c>
      <c r="G124" s="17" t="inlineStr"/>
      <c r="H124" s="17" t="inlineStr"/>
      <c r="I124" s="17" t="inlineStr"/>
    </row>
    <row r="125">
      <c r="A125" s="21" t="n">
        <v>104</v>
      </c>
      <c r="B125" s="25" t="inlineStr">
        <is>
          <t>17. Comparison with the Excel model (ground truth)</t>
        </is>
      </c>
      <c r="C125" s="25" t="inlineStr">
        <is>
          <t>L03 = L01 + Σ(L02) for every material × period (I1)</t>
        </is>
      </c>
      <c r="D125" s="17" t="inlineStr"/>
      <c r="E125" s="17" t="inlineStr"/>
      <c r="F125" s="28" t="inlineStr">
        <is>
          <t>TODO</t>
        </is>
      </c>
      <c r="G125" s="17" t="inlineStr"/>
      <c r="H125" s="17" t="inlineStr"/>
      <c r="I125" s="17" t="inlineStr"/>
    </row>
    <row r="126">
      <c r="A126" s="21" t="n">
        <v>105</v>
      </c>
      <c r="B126" s="25" t="inlineStr">
        <is>
          <t>17. Comparison with the Excel model (ground truth)</t>
        </is>
      </c>
      <c r="C126" s="25" t="inlineStr">
        <is>
          <t>Inventory running balance: inv(m) = inv(m−1) − L03(m) + L06_prod(m) + L06_purch(m) (I3)</t>
        </is>
      </c>
      <c r="D126" s="17" t="inlineStr"/>
      <c r="E126" s="17" t="inlineStr"/>
      <c r="F126" s="28" t="inlineStr">
        <is>
          <t>TODO</t>
        </is>
      </c>
      <c r="G126" s="17" t="inlineStr"/>
      <c r="H126" s="17" t="inlineStr"/>
      <c r="I126" s="17" t="inlineStr"/>
    </row>
    <row r="127">
      <c r="A127" s="22" t="inlineStr">
        <is>
          <t>18. CLI / web / self-test</t>
        </is>
      </c>
      <c r="B127" s="23" t="n"/>
      <c r="C127" s="23" t="n"/>
      <c r="D127" s="23" t="n"/>
      <c r="E127" s="23" t="n"/>
      <c r="F127" s="23" t="n"/>
      <c r="G127" s="23" t="n"/>
      <c r="H127" s="23" t="n"/>
      <c r="I127" s="24" t="n"/>
    </row>
    <row r="128">
      <c r="A128" s="21" t="n">
        <v>106</v>
      </c>
      <c r="B128" s="25" t="inlineStr">
        <is>
          <t>18. CLI / web / self-test</t>
        </is>
      </c>
      <c r="C128" s="25" t="inlineStr">
        <is>
          <t>CLI: python main.py --cli file.xlsx works</t>
        </is>
      </c>
      <c r="D128" s="17" t="inlineStr"/>
      <c r="E128" s="17" t="inlineStr"/>
      <c r="F128" s="28" t="inlineStr">
        <is>
          <t>TODO</t>
        </is>
      </c>
      <c r="G128" s="17" t="inlineStr"/>
      <c r="H128" s="17" t="inlineStr"/>
      <c r="I128" s="17" t="inlineStr"/>
    </row>
    <row r="129">
      <c r="A129" s="21" t="n">
        <v>107</v>
      </c>
      <c r="B129" s="25" t="inlineStr">
        <is>
          <t>18. CLI / web / self-test</t>
        </is>
      </c>
      <c r="C129" s="25" t="inlineStr">
        <is>
          <t>CLI: --output, --planning-month, --months-actuals, --months-forecast, --export-db, --db-path options work</t>
        </is>
      </c>
      <c r="D129" s="17" t="inlineStr"/>
      <c r="E129" s="17" t="inlineStr"/>
      <c r="F129" s="28" t="inlineStr">
        <is>
          <t>TODO</t>
        </is>
      </c>
      <c r="G129" s="17" t="inlineStr"/>
      <c r="H129" s="17" t="inlineStr"/>
      <c r="I129" s="17" t="inlineStr"/>
    </row>
    <row r="130">
      <c r="A130" s="21" t="n">
        <v>108</v>
      </c>
      <c r="B130" s="25" t="inlineStr">
        <is>
          <t>18. CLI / web / self-test</t>
        </is>
      </c>
      <c r="C130" s="25" t="inlineStr">
        <is>
          <t>Web: server starts and Excel upload works</t>
        </is>
      </c>
      <c r="D130" s="17" t="inlineStr"/>
      <c r="E130" s="17" t="inlineStr"/>
      <c r="F130" s="28" t="inlineStr">
        <is>
          <t>TODO</t>
        </is>
      </c>
      <c r="G130" s="17" t="inlineStr"/>
      <c r="H130" s="17" t="inlineStr"/>
      <c r="I130" s="17" t="inlineStr"/>
    </row>
    <row r="131">
      <c r="A131" s="21" t="n">
        <v>109</v>
      </c>
      <c r="B131" s="25" t="inlineStr">
        <is>
          <t>18. CLI / web / self-test</t>
        </is>
      </c>
      <c r="C131" s="25" t="inlineStr">
        <is>
          <t>Web: calculation successful after upload</t>
        </is>
      </c>
      <c r="D131" s="17" t="inlineStr"/>
      <c r="E131" s="17" t="inlineStr"/>
      <c r="F131" s="28" t="inlineStr">
        <is>
          <t>TODO</t>
        </is>
      </c>
      <c r="G131" s="17" t="inlineStr"/>
      <c r="H131" s="17" t="inlineStr"/>
      <c r="I131" s="17" t="inlineStr"/>
    </row>
    <row r="132">
      <c r="A132" s="21" t="n">
        <v>110</v>
      </c>
      <c r="B132" s="25" t="inlineStr">
        <is>
          <t>18. CLI / web / self-test</t>
        </is>
      </c>
      <c r="C132" s="25" t="inlineStr">
        <is>
          <t>Web: export links for Excel and DB available</t>
        </is>
      </c>
      <c r="D132" s="17" t="inlineStr"/>
      <c r="E132" s="17" t="inlineStr"/>
      <c r="F132" s="28" t="inlineStr">
        <is>
          <t>TODO</t>
        </is>
      </c>
      <c r="G132" s="17" t="inlineStr"/>
      <c r="H132" s="17" t="inlineStr"/>
      <c r="I132" s="17" t="inlineStr"/>
    </row>
    <row r="133">
      <c r="A133" s="21" t="n">
        <v>111</v>
      </c>
      <c r="B133" s="25" t="inlineStr">
        <is>
          <t>18. CLI / web / self-test</t>
        </is>
      </c>
      <c r="C133" s="25" t="inlineStr">
        <is>
          <t>Web: cycle manager stores the previous snapshot</t>
        </is>
      </c>
      <c r="D133" s="17" t="inlineStr"/>
      <c r="E133" s="17" t="inlineStr"/>
      <c r="F133" s="28" t="inlineStr">
        <is>
          <t>TODO</t>
        </is>
      </c>
      <c r="G133" s="17" t="inlineStr"/>
      <c r="H133" s="17" t="inlineStr"/>
      <c r="I133" s="17" t="inlineStr"/>
    </row>
    <row r="134">
      <c r="A134" s="21" t="n">
        <v>112</v>
      </c>
      <c r="B134" s="25" t="inlineStr">
        <is>
          <t>18. CLI / web / self-test</t>
        </is>
      </c>
      <c r="C134" s="25" t="inlineStr">
        <is>
          <t>Test: --test path returns ≥ 12 line types</t>
        </is>
      </c>
      <c r="D134" s="17" t="inlineStr"/>
      <c r="E134" s="17" t="inlineStr"/>
      <c r="F134" s="28" t="inlineStr">
        <is>
          <t>TODO</t>
        </is>
      </c>
      <c r="G134" s="17" t="inlineStr"/>
      <c r="H134" s="17" t="inlineStr"/>
      <c r="I134" s="17" t="inlineStr"/>
    </row>
    <row r="135">
      <c r="A135" s="22" t="inlineStr">
        <is>
          <t>19. Error handling</t>
        </is>
      </c>
      <c r="B135" s="23" t="n"/>
      <c r="C135" s="23" t="n"/>
      <c r="D135" s="23" t="n"/>
      <c r="E135" s="23" t="n"/>
      <c r="F135" s="23" t="n"/>
      <c r="G135" s="23" t="n"/>
      <c r="H135" s="23" t="n"/>
      <c r="I135" s="24" t="n"/>
    </row>
    <row r="136">
      <c r="A136" s="21" t="n">
        <v>113</v>
      </c>
      <c r="B136" s="25" t="inlineStr">
        <is>
          <t>19. Error handling</t>
        </is>
      </c>
      <c r="C136" s="25" t="inlineStr">
        <is>
          <t>Missing sheet names → graceful handling</t>
        </is>
      </c>
      <c r="D136" s="17" t="inlineStr"/>
      <c r="E136" s="17" t="inlineStr"/>
      <c r="F136" s="28" t="inlineStr">
        <is>
          <t>TODO</t>
        </is>
      </c>
      <c r="G136" s="17" t="inlineStr"/>
      <c r="H136" s="17" t="inlineStr"/>
      <c r="I136" s="17" t="inlineStr"/>
    </row>
    <row r="137">
      <c r="A137" s="21" t="n">
        <v>114</v>
      </c>
      <c r="B137" s="25" t="inlineStr">
        <is>
          <t>19. Error handling</t>
        </is>
      </c>
      <c r="C137" s="25" t="inlineStr">
        <is>
          <t>Invalid numeric strings → default values</t>
        </is>
      </c>
      <c r="D137" s="17" t="inlineStr"/>
      <c r="E137" s="17" t="inlineStr"/>
      <c r="F137" s="28" t="inlineStr">
        <is>
          <t>TODO</t>
        </is>
      </c>
      <c r="G137" s="17" t="inlineStr"/>
      <c r="H137" s="17" t="inlineStr"/>
      <c r="I137" s="17" t="inlineStr"/>
    </row>
    <row r="138">
      <c r="A138" s="21" t="n">
        <v>115</v>
      </c>
      <c r="B138" s="25" t="inlineStr">
        <is>
          <t>19. Error handling</t>
        </is>
      </c>
      <c r="C138" s="25" t="inlineStr">
        <is>
          <t>NaN values → 0 via _safe_float</t>
        </is>
      </c>
      <c r="D138" s="17" t="inlineStr"/>
      <c r="E138" s="17" t="inlineStr"/>
      <c r="F138" s="28" t="inlineStr">
        <is>
          <t>TODO</t>
        </is>
      </c>
      <c r="G138" s="17" t="inlineStr"/>
      <c r="H138" s="17" t="inlineStr"/>
      <c r="I138" s="17" t="inlineStr"/>
    </row>
    <row r="139">
      <c r="A139" s="21" t="n">
        <v>116</v>
      </c>
      <c r="B139" s="25" t="inlineStr">
        <is>
          <t>19. Error handling</t>
        </is>
      </c>
      <c r="C139" s="25" t="inlineStr">
        <is>
          <t>BOM rows with invalid qty → skipped</t>
        </is>
      </c>
      <c r="D139" s="17" t="inlineStr"/>
      <c r="E139" s="17" t="inlineStr"/>
      <c r="F139" s="28" t="inlineStr">
        <is>
          <t>TODO</t>
        </is>
      </c>
      <c r="G139" s="17" t="inlineStr"/>
      <c r="H139" s="17" t="inlineStr"/>
      <c r="I139" s="17" t="inlineStr"/>
    </row>
    <row r="140">
      <c r="A140" s="21" t="n">
        <v>117</v>
      </c>
      <c r="B140" s="25" t="inlineStr">
        <is>
          <t>19. Error handling</t>
        </is>
      </c>
      <c r="C140" s="25" t="inlineStr">
        <is>
          <t>Purchase sheet row without material/date → skipped</t>
        </is>
      </c>
      <c r="D140" s="17" t="inlineStr"/>
      <c r="E140" s="17" t="inlineStr"/>
      <c r="F140" s="28" t="inlineStr">
        <is>
          <t>TODO</t>
        </is>
      </c>
      <c r="G140" s="17" t="inlineStr"/>
      <c r="H140" s="17" t="inlineStr"/>
      <c r="I140" s="17" t="inlineStr"/>
    </row>
    <row r="141">
      <c r="A141" s="21" t="n">
        <v>118</v>
      </c>
      <c r="B141" s="25" t="inlineStr">
        <is>
          <t>19. Error handling</t>
        </is>
      </c>
      <c r="C141" s="25" t="inlineStr">
        <is>
          <t>Routing OEE mismatch → warning, no crash</t>
        </is>
      </c>
      <c r="D141" s="17" t="inlineStr"/>
      <c r="E141" s="17" t="inlineStr"/>
      <c r="F141" s="28" t="inlineStr">
        <is>
          <t>TODO</t>
        </is>
      </c>
      <c r="G141" s="17" t="inlineStr"/>
      <c r="H141" s="17" t="inlineStr"/>
      <c r="I141" s="17" t="inlineStr"/>
    </row>
    <row r="142">
      <c r="A142" s="21" t="n">
        <v>119</v>
      </c>
      <c r="B142" s="25" t="inlineStr">
        <is>
          <t>19. Error handling</t>
        </is>
      </c>
      <c r="C142" s="25" t="inlineStr">
        <is>
          <t>Config with invalid parameters → defaults used</t>
        </is>
      </c>
      <c r="D142" s="17" t="inlineStr"/>
      <c r="E142" s="17" t="inlineStr"/>
      <c r="F142" s="28" t="inlineStr">
        <is>
          <t>TODO</t>
        </is>
      </c>
      <c r="G142" s="17" t="inlineStr"/>
      <c r="H142" s="17" t="inlineStr"/>
      <c r="I142" s="17" t="inlineStr"/>
    </row>
  </sheetData>
  <autoFilter ref="A4:I4"/>
  <mergeCells count="21">
    <mergeCell ref="A75:I75"/>
    <mergeCell ref="A56:I56"/>
    <mergeCell ref="A95:I95"/>
    <mergeCell ref="A2:I2"/>
    <mergeCell ref="A5:I5"/>
    <mergeCell ref="A116:I116"/>
    <mergeCell ref="A53:I53"/>
    <mergeCell ref="A135:I135"/>
    <mergeCell ref="A19:I19"/>
    <mergeCell ref="A10:I10"/>
    <mergeCell ref="A44:I44"/>
    <mergeCell ref="A102:I102"/>
    <mergeCell ref="A40:I40"/>
    <mergeCell ref="A127:I127"/>
    <mergeCell ref="A48:I48"/>
    <mergeCell ref="A30:I30"/>
    <mergeCell ref="A24:I24"/>
    <mergeCell ref="A107:I107"/>
    <mergeCell ref="A1:I1"/>
    <mergeCell ref="A61:I61"/>
    <mergeCell ref="A69:I69"/>
  </mergeCells>
  <conditionalFormatting sqref="F5:F143">
    <cfRule type="cellIs" priority="1" operator="equal" dxfId="1">
      <formula>"PASS"</formula>
    </cfRule>
    <cfRule type="cellIs" priority="2" operator="equal" dxfId="0">
      <formula>"FAIL"</formula>
    </cfRule>
    <cfRule type="cellIs" priority="3" operator="equal" dxfId="2">
      <formula>"BLOCKED"</formula>
    </cfRule>
    <cfRule type="cellIs" priority="4" operator="equal" dxfId="3">
      <formula>"N/A"</formula>
    </cfRule>
  </conditionalFormatting>
  <dataValidations count="1">
    <dataValidation sqref="F5:F143" showDropDown="0" showInputMessage="0" showErrorMessage="0" allowBlank="1" type="list">
      <formula1>"TODO,PASS,FAIL,BLOCKED,N/A"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7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60" customWidth="1" min="3" max="3"/>
    <col width="26" customWidth="1" min="4" max="4"/>
    <col width="30" customWidth="1" min="5" max="5"/>
    <col width="10" customWidth="1" min="6" max="6"/>
    <col width="30" customWidth="1" min="7" max="7"/>
    <col width="12" customWidth="1" min="8" max="8"/>
    <col width="11" customWidth="1" min="9" max="9"/>
  </cols>
  <sheetData>
    <row r="1" ht="26" customHeight="1">
      <c r="A1" s="16" t="inlineStr">
        <is>
          <t>Scenario sessions — Session A: volume change → recalculation → consolidation &amp; isolation · Session B: two files sequentially in one session</t>
        </is>
      </c>
    </row>
    <row r="2">
      <c r="A2" s="2" t="inlineStr">
        <is>
          <t>Session A: Run A1 original data → Run A2 adjusted volumes in the Forecast sheet. Session B: Run B1 (2024-06, FC 12) → Run B2 (2025-01, FC 12) without restarting the app.</t>
        </is>
      </c>
    </row>
    <row r="4" ht="30" customHeight="1">
      <c r="A4" s="7" t="inlineStr">
        <is>
          <t>#</t>
        </is>
      </c>
      <c r="B4" s="7" t="inlineStr">
        <is>
          <t>Session / section</t>
        </is>
      </c>
      <c r="C4" s="7" t="inlineStr">
        <is>
          <t>Check item</t>
        </is>
      </c>
      <c r="D4" s="7" t="inlineStr">
        <is>
          <t>Input</t>
        </is>
      </c>
      <c r="E4" s="7" t="inlineStr">
        <is>
          <t>Expected</t>
        </is>
      </c>
      <c r="F4" s="7" t="inlineStr">
        <is>
          <t>Status</t>
        </is>
      </c>
      <c r="G4" s="7" t="inlineStr">
        <is>
          <t>Notes</t>
        </is>
      </c>
      <c r="H4" s="7" t="inlineStr">
        <is>
          <t>Tester</t>
        </is>
      </c>
      <c r="I4" s="7" t="inlineStr">
        <is>
          <t>Date</t>
        </is>
      </c>
    </row>
    <row r="5">
      <c r="A5" s="22" t="inlineStr">
        <is>
          <t>Session A — A. Input change: volume adjustment</t>
        </is>
      </c>
      <c r="B5" s="23" t="n"/>
      <c r="C5" s="23" t="n"/>
      <c r="D5" s="23" t="n"/>
      <c r="E5" s="23" t="n"/>
      <c r="F5" s="23" t="n"/>
      <c r="G5" s="23" t="n"/>
      <c r="H5" s="23" t="n"/>
      <c r="I5" s="24" t="n"/>
    </row>
    <row r="6">
      <c r="A6" s="21" t="n">
        <v>1</v>
      </c>
      <c r="B6" s="25" t="inlineStr">
        <is>
          <t>Session A — A. Input change: volume adjustment</t>
        </is>
      </c>
      <c r="C6" s="25" t="inlineStr">
        <is>
          <t>Forecast sheet: volumes for ≥ 3 materials changed manually (increased AND decreased)</t>
        </is>
      </c>
      <c r="D6" s="17" t="inlineStr"/>
      <c r="E6" s="17" t="inlineStr"/>
      <c r="F6" s="28" t="inlineStr">
        <is>
          <t>TODO</t>
        </is>
      </c>
      <c r="G6" s="17" t="inlineStr"/>
      <c r="H6" s="17" t="inlineStr"/>
      <c r="I6" s="17" t="inlineStr"/>
    </row>
    <row r="7">
      <c r="A7" s="21" t="n">
        <v>2</v>
      </c>
      <c r="B7" s="25" t="inlineStr">
        <is>
          <t>Session A — A. Input change: volume adjustment</t>
        </is>
      </c>
      <c r="C7" s="25" t="inlineStr">
        <is>
          <t>Modified Excel reloaded — no parse errors</t>
        </is>
      </c>
      <c r="D7" s="17" t="inlineStr"/>
      <c r="E7" s="17" t="inlineStr"/>
      <c r="F7" s="28" t="inlineStr">
        <is>
          <t>TODO</t>
        </is>
      </c>
      <c r="G7" s="17" t="inlineStr"/>
      <c r="H7" s="17" t="inlineStr"/>
      <c r="I7" s="17" t="inlineStr"/>
    </row>
    <row r="8">
      <c r="A8" s="21" t="n">
        <v>3</v>
      </c>
      <c r="B8" s="25" t="inlineStr">
        <is>
          <t>Session A — A. Input change: volume adjustment</t>
        </is>
      </c>
      <c r="C8" s="25" t="inlineStr">
        <is>
          <t>Config sheet NOT changed — parameters identical to Run 1</t>
        </is>
      </c>
      <c r="D8" s="17" t="inlineStr"/>
      <c r="E8" s="17" t="inlineStr"/>
      <c r="F8" s="28" t="inlineStr">
        <is>
          <t>TODO</t>
        </is>
      </c>
      <c r="G8" s="17" t="inlineStr"/>
      <c r="H8" s="17" t="inlineStr"/>
      <c r="I8" s="17" t="inlineStr"/>
    </row>
    <row r="9">
      <c r="A9" s="21" t="n">
        <v>4</v>
      </c>
      <c r="B9" s="25" t="inlineStr">
        <is>
          <t>Session A — A. Input change: volume adjustment</t>
        </is>
      </c>
      <c r="C9" s="25" t="inlineStr">
        <is>
          <t>Changed materials correctly recognised in data_loader</t>
        </is>
      </c>
      <c r="D9" s="17" t="inlineStr"/>
      <c r="E9" s="17" t="inlineStr"/>
      <c r="F9" s="28" t="inlineStr">
        <is>
          <t>TODO</t>
        </is>
      </c>
      <c r="G9" s="17" t="inlineStr"/>
      <c r="H9" s="17" t="inlineStr"/>
      <c r="I9" s="17" t="inlineStr"/>
    </row>
    <row r="10">
      <c r="A10" s="22" t="inlineStr">
        <is>
          <t>Session A — B. Recalculation after volume change</t>
        </is>
      </c>
      <c r="B10" s="23" t="n"/>
      <c r="C10" s="23" t="n"/>
      <c r="D10" s="23" t="n"/>
      <c r="E10" s="23" t="n"/>
      <c r="F10" s="23" t="n"/>
      <c r="G10" s="23" t="n"/>
      <c r="H10" s="23" t="n"/>
      <c r="I10" s="24" t="n"/>
    </row>
    <row r="11">
      <c r="A11" s="21" t="n">
        <v>5</v>
      </c>
      <c r="B11" s="25" t="inlineStr">
        <is>
          <t>Session A — B. Recalculation after volume change</t>
        </is>
      </c>
      <c r="C11" s="25" t="inlineStr">
        <is>
          <t>L01 Demand forecast: changed volumes taken over correctly</t>
        </is>
      </c>
      <c r="D11" s="17" t="inlineStr"/>
      <c r="E11" s="17" t="inlineStr"/>
      <c r="F11" s="28" t="inlineStr">
        <is>
          <t>TODO</t>
        </is>
      </c>
      <c r="G11" s="17" t="inlineStr"/>
      <c r="H11" s="17" t="inlineStr"/>
      <c r="I11" s="17" t="inlineStr"/>
    </row>
    <row r="12">
      <c r="A12" s="21" t="n">
        <v>6</v>
      </c>
      <c r="B12" s="25" t="inlineStr">
        <is>
          <t>Session A — B. Recalculation after volume change</t>
        </is>
      </c>
      <c r="C12" s="25" t="inlineStr">
        <is>
          <t>L01 AUX1/AUX2 recalculated on the new values</t>
        </is>
      </c>
      <c r="D12" s="17" t="inlineStr"/>
      <c r="E12" s="17" t="inlineStr"/>
      <c r="F12" s="28" t="inlineStr">
        <is>
          <t>TODO</t>
        </is>
      </c>
      <c r="G12" s="17" t="inlineStr"/>
      <c r="H12" s="17" t="inlineStr"/>
      <c r="I12" s="17" t="inlineStr"/>
    </row>
    <row r="13">
      <c r="A13" s="21" t="n">
        <v>7</v>
      </c>
      <c r="B13" s="25" t="inlineStr">
        <is>
          <t>Session A — B. Recalculation after volume change</t>
        </is>
      </c>
      <c r="C13" s="25" t="inlineStr">
        <is>
          <t>L02 Dependent demand: BOM explosion recalculated with new parent demand</t>
        </is>
      </c>
      <c r="D13" s="17" t="inlineStr"/>
      <c r="E13" s="17" t="inlineStr"/>
      <c r="F13" s="28" t="inlineStr">
        <is>
          <t>TODO</t>
        </is>
      </c>
      <c r="G13" s="17" t="inlineStr"/>
      <c r="H13" s="17" t="inlineStr"/>
      <c r="I13" s="17" t="inlineStr"/>
    </row>
    <row r="14">
      <c r="A14" s="21" t="n">
        <v>8</v>
      </c>
      <c r="B14" s="25" t="inlineStr">
        <is>
          <t>Session A — B. Recalculation after volume change</t>
        </is>
      </c>
      <c r="C14" s="25" t="inlineStr">
        <is>
          <t>L03 Total demand: sum matches new L01 + L02</t>
        </is>
      </c>
      <c r="D14" s="17" t="inlineStr"/>
      <c r="E14" s="17" t="inlineStr"/>
      <c r="F14" s="28" t="inlineStr">
        <is>
          <t>TODO</t>
        </is>
      </c>
      <c r="G14" s="17" t="inlineStr"/>
      <c r="H14" s="17" t="inlineStr"/>
      <c r="I14" s="17" t="inlineStr"/>
    </row>
    <row r="15">
      <c r="A15" s="21" t="n">
        <v>9</v>
      </c>
      <c r="B15" s="25" t="inlineStr">
        <is>
          <t>Session A — B. Recalculation after volume change</t>
        </is>
      </c>
      <c r="C15" s="25" t="inlineStr">
        <is>
          <t>L04 Inventory: running balance correct with new demand</t>
        </is>
      </c>
      <c r="D15" s="17" t="inlineStr"/>
      <c r="E15" s="17" t="inlineStr"/>
      <c r="F15" s="28" t="inlineStr">
        <is>
          <t>TODO</t>
        </is>
      </c>
      <c r="G15" s="17" t="inlineStr"/>
      <c r="H15" s="17" t="inlineStr"/>
      <c r="I15" s="17" t="inlineStr"/>
    </row>
    <row r="16">
      <c r="A16" s="21" t="n">
        <v>10</v>
      </c>
      <c r="B16" s="25" t="inlineStr">
        <is>
          <t>Session A — B. Recalculation after volume change</t>
        </is>
      </c>
      <c r="C16" s="25" t="inlineStr">
        <is>
          <t>L05 Minimum target stock: UNCHANGED (input not changed)</t>
        </is>
      </c>
      <c r="D16" s="17" t="inlineStr"/>
      <c r="E16" s="17" t="inlineStr"/>
      <c r="F16" s="28" t="inlineStr">
        <is>
          <t>TODO</t>
        </is>
      </c>
      <c r="G16" s="17" t="inlineStr"/>
      <c r="H16" s="17" t="inlineStr"/>
      <c r="I16" s="17" t="inlineStr"/>
    </row>
    <row r="17">
      <c r="A17" s="21" t="n">
        <v>11</v>
      </c>
      <c r="B17" s="25" t="inlineStr">
        <is>
          <t>Session A — B. Recalculation after volume change</t>
        </is>
      </c>
      <c r="C17" s="25" t="inlineStr">
        <is>
          <t>L06 Production plan: recalculated — lot-size logic correct with new demand</t>
        </is>
      </c>
      <c r="D17" s="17" t="inlineStr"/>
      <c r="E17" s="17" t="inlineStr"/>
      <c r="F17" s="28" t="inlineStr">
        <is>
          <t>TODO</t>
        </is>
      </c>
      <c r="G17" s="17" t="inlineStr"/>
      <c r="H17" s="17" t="inlineStr"/>
      <c r="I17" s="17" t="inlineStr"/>
    </row>
    <row r="18">
      <c r="A18" s="21" t="n">
        <v>12</v>
      </c>
      <c r="B18" s="25" t="inlineStr">
        <is>
          <t>Session A — B. Recalculation after volume change</t>
        </is>
      </c>
      <c r="C18" s="25" t="inlineStr">
        <is>
          <t>L06 Purchase receipt: recalculated for purchased materials</t>
        </is>
      </c>
      <c r="D18" s="17" t="inlineStr"/>
      <c r="E18" s="17" t="inlineStr"/>
      <c r="F18" s="28" t="inlineStr">
        <is>
          <t>TODO</t>
        </is>
      </c>
      <c r="G18" s="17" t="inlineStr"/>
      <c r="H18" s="17" t="inlineStr"/>
      <c r="I18" s="17" t="inlineStr"/>
    </row>
    <row r="19">
      <c r="A19" s="21" t="n">
        <v>13</v>
      </c>
      <c r="B19" s="25" t="inlineStr">
        <is>
          <t>Session A — B. Recalculation after volume change</t>
        </is>
      </c>
      <c r="C19" s="25" t="inlineStr">
        <is>
          <t>L07 Purchase plan: lead-time shift correct with new receipts</t>
        </is>
      </c>
      <c r="D19" s="17" t="inlineStr"/>
      <c r="E19" s="17" t="inlineStr"/>
      <c r="F19" s="28" t="inlineStr">
        <is>
          <t>TODO</t>
        </is>
      </c>
      <c r="G19" s="17" t="inlineStr"/>
      <c r="H19" s="17" t="inlineStr"/>
      <c r="I19" s="17" t="inlineStr"/>
    </row>
    <row r="20">
      <c r="A20" s="21" t="n">
        <v>14</v>
      </c>
      <c r="B20" s="25" t="inlineStr">
        <is>
          <t>Session A — B. Recalculation after volume change</t>
        </is>
      </c>
      <c r="C20" s="25" t="inlineStr">
        <is>
          <t>L07 Capacity utilization: recalculated with new production quantities</t>
        </is>
      </c>
      <c r="D20" s="17" t="inlineStr"/>
      <c r="E20" s="17" t="inlineStr"/>
      <c r="F20" s="28" t="inlineStr">
        <is>
          <t>TODO</t>
        </is>
      </c>
      <c r="G20" s="17" t="inlineStr"/>
      <c r="H20" s="17" t="inlineStr"/>
      <c r="I20" s="17" t="inlineStr"/>
    </row>
    <row r="21">
      <c r="A21" s="21" t="n">
        <v>15</v>
      </c>
      <c r="B21" s="25" t="inlineStr">
        <is>
          <t>Session A — B. Recalculation after volume change</t>
        </is>
      </c>
      <c r="C21" s="25" t="inlineStr">
        <is>
          <t>L08 Dependent requirements: recalculated via BOM</t>
        </is>
      </c>
      <c r="D21" s="17" t="inlineStr"/>
      <c r="E21" s="17" t="inlineStr"/>
      <c r="F21" s="28" t="inlineStr">
        <is>
          <t>TODO</t>
        </is>
      </c>
      <c r="G21" s="17" t="inlineStr"/>
      <c r="H21" s="17" t="inlineStr"/>
      <c r="I21" s="17" t="inlineStr"/>
    </row>
    <row r="22">
      <c r="A22" s="21" t="n">
        <v>16</v>
      </c>
      <c r="B22" s="25" t="inlineStr">
        <is>
          <t>Session A — B. Recalculation after volume change</t>
        </is>
      </c>
      <c r="C22" s="25" t="inlineStr">
        <is>
          <t>L09 Available capacity: UNCHANGED (no OEE/shift change)</t>
        </is>
      </c>
      <c r="D22" s="17" t="inlineStr"/>
      <c r="E22" s="17" t="inlineStr"/>
      <c r="F22" s="28" t="inlineStr">
        <is>
          <t>TODO</t>
        </is>
      </c>
      <c r="G22" s="17" t="inlineStr"/>
      <c r="H22" s="17" t="inlineStr"/>
      <c r="I22" s="17" t="inlineStr"/>
    </row>
    <row r="23">
      <c r="A23" s="21" t="n">
        <v>17</v>
      </c>
      <c r="B23" s="25" t="inlineStr">
        <is>
          <t>Session A — B. Recalculation after volume change</t>
        </is>
      </c>
      <c r="C23" s="25" t="inlineStr">
        <is>
          <t>L10 Utilization rate: recalculated (new hours / same capacity)</t>
        </is>
      </c>
      <c r="D23" s="17" t="inlineStr"/>
      <c r="E23" s="17" t="inlineStr"/>
      <c r="F23" s="28" t="inlineStr">
        <is>
          <t>TODO</t>
        </is>
      </c>
      <c r="G23" s="17" t="inlineStr"/>
      <c r="H23" s="17" t="inlineStr"/>
      <c r="I23" s="17" t="inlineStr"/>
    </row>
    <row r="24">
      <c r="A24" s="21" t="n">
        <v>18</v>
      </c>
      <c r="B24" s="25" t="inlineStr">
        <is>
          <t>Session A — B. Recalculation after volume change</t>
        </is>
      </c>
      <c r="C24" s="25" t="inlineStr">
        <is>
          <t>L11 Shift availability: UNCHANGED</t>
        </is>
      </c>
      <c r="D24" s="17" t="inlineStr"/>
      <c r="E24" s="17" t="inlineStr"/>
      <c r="F24" s="28" t="inlineStr">
        <is>
          <t>TODO</t>
        </is>
      </c>
      <c r="G24" s="17" t="inlineStr"/>
      <c r="H24" s="17" t="inlineStr"/>
      <c r="I24" s="17" t="inlineStr"/>
    </row>
    <row r="25">
      <c r="A25" s="21" t="n">
        <v>19</v>
      </c>
      <c r="B25" s="25" t="inlineStr">
        <is>
          <t>Session A — B. Recalculation after volume change</t>
        </is>
      </c>
      <c r="C25" s="25" t="inlineStr">
        <is>
          <t>L12 FTE requirements: recalculated with new production quantities</t>
        </is>
      </c>
      <c r="D25" s="17" t="inlineStr"/>
      <c r="E25" s="17" t="inlineStr"/>
      <c r="F25" s="28" t="inlineStr">
        <is>
          <t>TODO</t>
        </is>
      </c>
      <c r="G25" s="17" t="inlineStr"/>
      <c r="H25" s="17" t="inlineStr"/>
      <c r="I25" s="17" t="inlineStr"/>
    </row>
    <row r="26">
      <c r="A26" s="22" t="inlineStr">
        <is>
          <t>Session A — C. Consolidation validation after change</t>
        </is>
      </c>
      <c r="B26" s="23" t="n"/>
      <c r="C26" s="23" t="n"/>
      <c r="D26" s="23" t="n"/>
      <c r="E26" s="23" t="n"/>
      <c r="F26" s="23" t="n"/>
      <c r="G26" s="23" t="n"/>
      <c r="H26" s="23" t="n"/>
      <c r="I26" s="24" t="n"/>
    </row>
    <row r="27">
      <c r="A27" s="21" t="n">
        <v>20</v>
      </c>
      <c r="B27" s="25" t="inlineStr">
        <is>
          <t>Session A — C. Consolidation validation after change</t>
        </is>
      </c>
      <c r="C27" s="25" t="inlineStr">
        <is>
          <t>Total volume L03 per period = sum of all material demands</t>
        </is>
      </c>
      <c r="D27" s="17" t="inlineStr"/>
      <c r="E27" s="17" t="inlineStr"/>
      <c r="F27" s="28" t="inlineStr">
        <is>
          <t>TODO</t>
        </is>
      </c>
      <c r="G27" s="17" t="inlineStr"/>
      <c r="H27" s="17" t="inlineStr"/>
      <c r="I27" s="17" t="inlineStr"/>
    </row>
    <row r="28">
      <c r="A28" s="21" t="n">
        <v>21</v>
      </c>
      <c r="B28" s="25" t="inlineStr">
        <is>
          <t>Session A — C. Consolidation validation after change</t>
        </is>
      </c>
      <c r="C28" s="25" t="inlineStr">
        <is>
          <t>Total production L06 per period = sum of all material production plans</t>
        </is>
      </c>
      <c r="D28" s="17" t="inlineStr"/>
      <c r="E28" s="17" t="inlineStr"/>
      <c r="F28" s="28" t="inlineStr">
        <is>
          <t>TODO</t>
        </is>
      </c>
      <c r="G28" s="17" t="inlineStr"/>
      <c r="H28" s="17" t="inlineStr"/>
      <c r="I28" s="17" t="inlineStr"/>
    </row>
    <row r="29">
      <c r="A29" s="21" t="n">
        <v>22</v>
      </c>
      <c r="B29" s="25" t="inlineStr">
        <is>
          <t>Session A — C. Consolidation validation after change</t>
        </is>
      </c>
      <c r="C29" s="25" t="inlineStr">
        <is>
          <t>Total purchase L07 per period = sum of all purchase plans</t>
        </is>
      </c>
      <c r="D29" s="17" t="inlineStr"/>
      <c r="E29" s="17" t="inlineStr"/>
      <c r="F29" s="28" t="inlineStr">
        <is>
          <t>TODO</t>
        </is>
      </c>
      <c r="G29" s="17" t="inlineStr"/>
      <c r="H29" s="17" t="inlineStr"/>
      <c r="I29" s="17" t="inlineStr"/>
    </row>
    <row r="30">
      <c r="A30" s="21" t="n">
        <v>23</v>
      </c>
      <c r="B30" s="25" t="inlineStr">
        <is>
          <t>Session A — C. Consolidation validation after change</t>
        </is>
      </c>
      <c r="C30" s="25" t="inlineStr">
        <is>
          <t>Capacity utilization consolidation per machine group correct</t>
        </is>
      </c>
      <c r="D30" s="17" t="inlineStr"/>
      <c r="E30" s="17" t="inlineStr"/>
      <c r="F30" s="28" t="inlineStr">
        <is>
          <t>TODO</t>
        </is>
      </c>
      <c r="G30" s="17" t="inlineStr"/>
      <c r="H30" s="17" t="inlineStr"/>
      <c r="I30" s="17" t="inlineStr"/>
    </row>
    <row r="31">
      <c r="A31" s="21" t="n">
        <v>24</v>
      </c>
      <c r="B31" s="25" t="inlineStr">
        <is>
          <t>Session A — C. Consolidation validation after change</t>
        </is>
      </c>
      <c r="C31" s="25" t="inlineStr">
        <is>
          <t>FTE consolidation matches the sum of individual material FTE</t>
        </is>
      </c>
      <c r="D31" s="17" t="inlineStr"/>
      <c r="E31" s="17" t="inlineStr"/>
      <c r="F31" s="28" t="inlineStr">
        <is>
          <t>TODO</t>
        </is>
      </c>
      <c r="G31" s="17" t="inlineStr"/>
      <c r="H31" s="17" t="inlineStr"/>
      <c r="I31" s="17" t="inlineStr"/>
    </row>
    <row r="32">
      <c r="A32" s="21" t="n">
        <v>25</v>
      </c>
      <c r="B32" s="25" t="inlineStr">
        <is>
          <t>Session A — C. Consolidation validation after change</t>
        </is>
      </c>
      <c r="C32" s="25" t="inlineStr">
        <is>
          <t>Consolidation delta vs. Run 1 explainable from the volume changes</t>
        </is>
      </c>
      <c r="D32" s="17" t="inlineStr"/>
      <c r="E32" s="17" t="inlineStr"/>
      <c r="F32" s="28" t="inlineStr">
        <is>
          <t>TODO</t>
        </is>
      </c>
      <c r="G32" s="17" t="inlineStr"/>
      <c r="H32" s="17" t="inlineStr"/>
      <c r="I32" s="17" t="inlineStr"/>
    </row>
    <row r="33">
      <c r="A33" s="21" t="n">
        <v>26</v>
      </c>
      <c r="B33" s="25" t="inlineStr">
        <is>
          <t>Session A — C. Consolidation validation after change</t>
        </is>
      </c>
      <c r="C33" s="25" t="inlineStr">
        <is>
          <t>No unexpected changes in materials that were NOT changed</t>
        </is>
      </c>
      <c r="D33" s="17" t="inlineStr"/>
      <c r="E33" s="17" t="inlineStr"/>
      <c r="F33" s="28" t="inlineStr">
        <is>
          <t>TODO</t>
        </is>
      </c>
      <c r="G33" s="17" t="inlineStr"/>
      <c r="H33" s="17" t="inlineStr"/>
      <c r="I33" s="17" t="inlineStr"/>
    </row>
    <row r="34">
      <c r="A34" s="22" t="inlineStr">
        <is>
          <t>Session A — D. Isolation: unchanged data intact</t>
        </is>
      </c>
      <c r="B34" s="23" t="n"/>
      <c r="C34" s="23" t="n"/>
      <c r="D34" s="23" t="n"/>
      <c r="E34" s="23" t="n"/>
      <c r="F34" s="23" t="n"/>
      <c r="G34" s="23" t="n"/>
      <c r="H34" s="23" t="n"/>
      <c r="I34" s="24" t="n"/>
    </row>
    <row r="35">
      <c r="A35" s="21" t="n">
        <v>27</v>
      </c>
      <c r="B35" s="25" t="inlineStr">
        <is>
          <t>Session A — D. Isolation: unchanged data intact</t>
        </is>
      </c>
      <c r="C35" s="25" t="inlineStr">
        <is>
          <t>Material master: identical to Run 1</t>
        </is>
      </c>
      <c r="D35" s="17" t="inlineStr"/>
      <c r="E35" s="17" t="inlineStr"/>
      <c r="F35" s="28" t="inlineStr">
        <is>
          <t>TODO</t>
        </is>
      </c>
      <c r="G35" s="17" t="inlineStr"/>
      <c r="H35" s="17" t="inlineStr"/>
      <c r="I35" s="17" t="inlineStr"/>
    </row>
    <row r="36">
      <c r="A36" s="21" t="n">
        <v>28</v>
      </c>
      <c r="B36" s="25" t="inlineStr">
        <is>
          <t>Session A — D. Isolation: unchanged data intact</t>
        </is>
      </c>
      <c r="C36" s="25" t="inlineStr">
        <is>
          <t>BOM structure: identical to Run 1</t>
        </is>
      </c>
      <c r="D36" s="17" t="inlineStr"/>
      <c r="E36" s="17" t="inlineStr"/>
      <c r="F36" s="28" t="inlineStr">
        <is>
          <t>TODO</t>
        </is>
      </c>
      <c r="G36" s="17" t="inlineStr"/>
      <c r="H36" s="17" t="inlineStr"/>
      <c r="I36" s="17" t="inlineStr"/>
    </row>
    <row r="37">
      <c r="A37" s="21" t="n">
        <v>29</v>
      </c>
      <c r="B37" s="25" t="inlineStr">
        <is>
          <t>Session A — D. Isolation: unchanged data intact</t>
        </is>
      </c>
      <c r="C37" s="25" t="inlineStr">
        <is>
          <t>OEE + Machine groups: identical to Run 1</t>
        </is>
      </c>
      <c r="D37" s="17" t="inlineStr"/>
      <c r="E37" s="17" t="inlineStr"/>
      <c r="F37" s="28" t="inlineStr">
        <is>
          <t>TODO</t>
        </is>
      </c>
      <c r="G37" s="17" t="inlineStr"/>
      <c r="H37" s="17" t="inlineStr"/>
      <c r="I37" s="17" t="inlineStr"/>
    </row>
    <row r="38">
      <c r="A38" s="21" t="n">
        <v>30</v>
      </c>
      <c r="B38" s="25" t="inlineStr">
        <is>
          <t>Session A — D. Isolation: unchanged data intact</t>
        </is>
      </c>
      <c r="C38" s="25" t="inlineStr">
        <is>
          <t>Routing: identical to Run 1</t>
        </is>
      </c>
      <c r="D38" s="17" t="inlineStr"/>
      <c r="E38" s="17" t="inlineStr"/>
      <c r="F38" s="28" t="inlineStr">
        <is>
          <t>TODO</t>
        </is>
      </c>
      <c r="G38" s="17" t="inlineStr"/>
      <c r="H38" s="17" t="inlineStr"/>
      <c r="I38" s="17" t="inlineStr"/>
    </row>
    <row r="39">
      <c r="A39" s="21" t="n">
        <v>31</v>
      </c>
      <c r="B39" s="25" t="inlineStr">
        <is>
          <t>Session A — D. Isolation: unchanged data intact</t>
        </is>
      </c>
      <c r="C39" s="25" t="inlineStr">
        <is>
          <t>Stock level sheet: starting stocks identical to Run 1</t>
        </is>
      </c>
      <c r="D39" s="17" t="inlineStr"/>
      <c r="E39" s="17" t="inlineStr"/>
      <c r="F39" s="28" t="inlineStr">
        <is>
          <t>TODO</t>
        </is>
      </c>
      <c r="G39" s="17" t="inlineStr"/>
      <c r="H39" s="17" t="inlineStr"/>
      <c r="I39" s="17" t="inlineStr"/>
    </row>
    <row r="40">
      <c r="A40" s="21" t="n">
        <v>32</v>
      </c>
      <c r="B40" s="25" t="inlineStr">
        <is>
          <t>Session A — D. Isolation: unchanged data intact</t>
        </is>
      </c>
      <c r="C40" s="25" t="inlineStr">
        <is>
          <t>Safety stock: values identical to Run 1</t>
        </is>
      </c>
      <c r="D40" s="17" t="inlineStr"/>
      <c r="E40" s="17" t="inlineStr"/>
      <c r="F40" s="28" t="inlineStr">
        <is>
          <t>TODO</t>
        </is>
      </c>
      <c r="G40" s="17" t="inlineStr"/>
      <c r="H40" s="17" t="inlineStr"/>
      <c r="I40" s="17" t="inlineStr"/>
    </row>
    <row r="41">
      <c r="A41" s="21" t="n">
        <v>33</v>
      </c>
      <c r="B41" s="25" t="inlineStr">
        <is>
          <t>Session A — D. Isolation: unchanged data intact</t>
        </is>
      </c>
      <c r="C41" s="25" t="inlineStr">
        <is>
          <t>Purchase sheet (lead times, MOQ): identical to Run 1</t>
        </is>
      </c>
      <c r="D41" s="17" t="inlineStr"/>
      <c r="E41" s="17" t="inlineStr"/>
      <c r="F41" s="28" t="inlineStr">
        <is>
          <t>TODO</t>
        </is>
      </c>
      <c r="G41" s="17" t="inlineStr"/>
      <c r="H41" s="17" t="inlineStr"/>
      <c r="I41" s="17" t="inlineStr"/>
    </row>
    <row r="42">
      <c r="A42" s="21" t="n">
        <v>34</v>
      </c>
      <c r="B42" s="25" t="inlineStr">
        <is>
          <t>Session A — D. Isolation: unchanged data intact</t>
        </is>
      </c>
      <c r="C42" s="25" t="inlineStr">
        <is>
          <t>FTE sheet: shift configuration identical to Run 1</t>
        </is>
      </c>
      <c r="D42" s="17" t="inlineStr"/>
      <c r="E42" s="17" t="inlineStr"/>
      <c r="F42" s="28" t="inlineStr">
        <is>
          <t>TODO</t>
        </is>
      </c>
      <c r="G42" s="17" t="inlineStr"/>
      <c r="H42" s="17" t="inlineStr"/>
      <c r="I42" s="17" t="inlineStr"/>
    </row>
    <row r="43">
      <c r="A43" s="21" t="n">
        <v>35</v>
      </c>
      <c r="B43" s="25" t="inlineStr">
        <is>
          <t>Session A — D. Isolation: unchanged data intact</t>
        </is>
      </c>
      <c r="C43" s="25" t="inlineStr">
        <is>
          <t>Financial sheets: identical to Run 1 (when present)</t>
        </is>
      </c>
      <c r="D43" s="17" t="inlineStr"/>
      <c r="E43" s="17" t="inlineStr"/>
      <c r="F43" s="28" t="inlineStr">
        <is>
          <t>TODO</t>
        </is>
      </c>
      <c r="G43" s="17" t="inlineStr"/>
      <c r="H43" s="17" t="inlineStr"/>
      <c r="I43" s="17" t="inlineStr"/>
    </row>
    <row r="44">
      <c r="A44" s="21" t="n">
        <v>36</v>
      </c>
      <c r="B44" s="25" t="inlineStr">
        <is>
          <t>Session A — D. Isolation: unchanged data intact</t>
        </is>
      </c>
      <c r="C44" s="25" t="inlineStr">
        <is>
          <t>Unchanged materials: L01–L12 output EXACTLY equal to Run 1 (ground_truth_diff Run1 vs Run2, filtered)</t>
        </is>
      </c>
      <c r="D44" s="17" t="inlineStr"/>
      <c r="E44" s="17" t="inlineStr"/>
      <c r="F44" s="28" t="inlineStr">
        <is>
          <t>TODO</t>
        </is>
      </c>
      <c r="G44" s="17" t="inlineStr"/>
      <c r="H44" s="17" t="inlineStr"/>
      <c r="I44" s="17" t="inlineStr"/>
    </row>
    <row r="45">
      <c r="A45" s="22" t="inlineStr">
        <is>
          <t>Session A — E. Export &amp; cycle after change</t>
        </is>
      </c>
      <c r="B45" s="23" t="n"/>
      <c r="C45" s="23" t="n"/>
      <c r="D45" s="23" t="n"/>
      <c r="E45" s="23" t="n"/>
      <c r="F45" s="23" t="n"/>
      <c r="G45" s="23" t="n"/>
      <c r="H45" s="23" t="n"/>
      <c r="I45" s="24" t="n"/>
    </row>
    <row r="46">
      <c r="A46" s="21" t="n">
        <v>37</v>
      </c>
      <c r="B46" s="25" t="inlineStr">
        <is>
          <t>Session A — E. Export &amp; cycle after change</t>
        </is>
      </c>
      <c r="C46" s="25" t="inlineStr">
        <is>
          <t>Excel export contains the correct recalculated values</t>
        </is>
      </c>
      <c r="D46" s="17" t="inlineStr"/>
      <c r="E46" s="17" t="inlineStr"/>
      <c r="F46" s="28" t="inlineStr">
        <is>
          <t>TODO</t>
        </is>
      </c>
      <c r="G46" s="17" t="inlineStr"/>
      <c r="H46" s="17" t="inlineStr"/>
      <c r="I46" s="17" t="inlineStr"/>
    </row>
    <row r="47">
      <c r="A47" s="21" t="n">
        <v>38</v>
      </c>
      <c r="B47" s="25" t="inlineStr">
        <is>
          <t>Session A — E. Export &amp; cycle after change</t>
        </is>
      </c>
      <c r="C47" s="25" t="inlineStr">
        <is>
          <t>DB export contains the correct recalculated values</t>
        </is>
      </c>
      <c r="D47" s="17" t="inlineStr"/>
      <c r="E47" s="17" t="inlineStr"/>
      <c r="F47" s="28" t="inlineStr">
        <is>
          <t>TODO</t>
        </is>
      </c>
      <c r="G47" s="17" t="inlineStr"/>
      <c r="H47" s="17" t="inlineStr"/>
      <c r="I47" s="17" t="inlineStr"/>
    </row>
    <row r="48">
      <c r="A48" s="21" t="n">
        <v>39</v>
      </c>
      <c r="B48" s="25" t="inlineStr">
        <is>
          <t>Session A — E. Export &amp; cycle after change</t>
        </is>
      </c>
      <c r="C48" s="25" t="inlineStr">
        <is>
          <t>CycleManager: Run 1 stored as previous cycle</t>
        </is>
      </c>
      <c r="D48" s="17" t="inlineStr"/>
      <c r="E48" s="17" t="inlineStr"/>
      <c r="F48" s="28" t="inlineStr">
        <is>
          <t>TODO</t>
        </is>
      </c>
      <c r="G48" s="17" t="inlineStr"/>
      <c r="H48" s="17" t="inlineStr"/>
      <c r="I48" s="17" t="inlineStr"/>
    </row>
    <row r="49">
      <c r="A49" s="21" t="n">
        <v>40</v>
      </c>
      <c r="B49" s="25" t="inlineStr">
        <is>
          <t>Session A — E. Export &amp; cycle after change</t>
        </is>
      </c>
      <c r="C49" s="25" t="inlineStr">
        <is>
          <t>MoM comparison: deltas match the applied volume changes</t>
        </is>
      </c>
      <c r="D49" s="17" t="inlineStr"/>
      <c r="E49" s="17" t="inlineStr"/>
      <c r="F49" s="28" t="inlineStr">
        <is>
          <t>TODO</t>
        </is>
      </c>
      <c r="G49" s="17" t="inlineStr"/>
      <c r="H49" s="17" t="inlineStr"/>
      <c r="I49" s="17" t="inlineStr"/>
    </row>
    <row r="50">
      <c r="A50" s="21" t="n">
        <v>41</v>
      </c>
      <c r="B50" s="25" t="inlineStr">
        <is>
          <t>Session A — E. Export &amp; cycle after change</t>
        </is>
      </c>
      <c r="C50" s="25" t="inlineStr">
        <is>
          <t>MoM scatter data: only changed materials show a shift</t>
        </is>
      </c>
      <c r="D50" s="17" t="inlineStr"/>
      <c r="E50" s="17" t="inlineStr"/>
      <c r="F50" s="28" t="inlineStr">
        <is>
          <t>TODO</t>
        </is>
      </c>
      <c r="G50" s="17" t="inlineStr"/>
      <c r="H50" s="17" t="inlineStr"/>
      <c r="I50" s="17" t="inlineStr"/>
    </row>
    <row r="51">
      <c r="A51" s="22" t="inlineStr">
        <is>
          <t>Session B — F. Two consecutive files in one session</t>
        </is>
      </c>
      <c r="B51" s="23" t="n"/>
      <c r="C51" s="23" t="n"/>
      <c r="D51" s="23" t="n"/>
      <c r="E51" s="23" t="n"/>
      <c r="F51" s="23" t="n"/>
      <c r="G51" s="23" t="n"/>
      <c r="H51" s="23" t="n"/>
      <c r="I51" s="24" t="n"/>
    </row>
    <row r="52">
      <c r="A52" s="21" t="n">
        <v>42</v>
      </c>
      <c r="B52" s="25" t="inlineStr">
        <is>
          <t>Session B — F. Two consecutive files in one session</t>
        </is>
      </c>
      <c r="C52" s="25" t="inlineStr">
        <is>
          <t>File 1 (Run B1) loaded and calculated — results correct</t>
        </is>
      </c>
      <c r="D52" s="17" t="inlineStr"/>
      <c r="E52" s="17" t="inlineStr"/>
      <c r="F52" s="28" t="inlineStr">
        <is>
          <t>TODO</t>
        </is>
      </c>
      <c r="G52" s="17" t="inlineStr"/>
      <c r="H52" s="17" t="inlineStr"/>
      <c r="I52" s="17" t="inlineStr"/>
    </row>
    <row r="53">
      <c r="A53" s="21" t="n">
        <v>43</v>
      </c>
      <c r="B53" s="25" t="inlineStr">
        <is>
          <t>Session B — F. Two consecutive files in one session</t>
        </is>
      </c>
      <c r="C53" s="25" t="inlineStr">
        <is>
          <t>File 2 (Run B2) loaded in the SAME session — no remains of File 1</t>
        </is>
      </c>
      <c r="D53" s="17" t="inlineStr"/>
      <c r="E53" s="17" t="inlineStr"/>
      <c r="F53" s="28" t="inlineStr">
        <is>
          <t>TODO</t>
        </is>
      </c>
      <c r="G53" s="17" t="inlineStr"/>
      <c r="H53" s="17" t="inlineStr"/>
      <c r="I53" s="17" t="inlineStr"/>
    </row>
    <row r="54">
      <c r="A54" s="21" t="n">
        <v>44</v>
      </c>
      <c r="B54" s="25" t="inlineStr">
        <is>
          <t>Session B — F. Two consecutive files in one session</t>
        </is>
      </c>
      <c r="C54" s="25" t="inlineStr">
        <is>
          <t>All data_loader fields fully overwritten with File 2 data</t>
        </is>
      </c>
      <c r="D54" s="17" t="inlineStr"/>
      <c r="E54" s="17" t="inlineStr"/>
      <c r="F54" s="28" t="inlineStr">
        <is>
          <t>TODO</t>
        </is>
      </c>
      <c r="G54" s="17" t="inlineStr"/>
      <c r="H54" s="17" t="inlineStr"/>
      <c r="I54" s="17" t="inlineStr"/>
    </row>
    <row r="55">
      <c r="A55" s="21" t="n">
        <v>45</v>
      </c>
      <c r="B55" s="25" t="inlineStr">
        <is>
          <t>Session B — F. Two consecutive files in one session</t>
        </is>
      </c>
      <c r="C55" s="25" t="inlineStr">
        <is>
          <t>No materials from File 1 present in File 2 output</t>
        </is>
      </c>
      <c r="D55" s="17" t="inlineStr"/>
      <c r="E55" s="17" t="inlineStr"/>
      <c r="F55" s="28" t="inlineStr">
        <is>
          <t>TODO</t>
        </is>
      </c>
      <c r="G55" s="17" t="inlineStr"/>
      <c r="H55" s="17" t="inlineStr"/>
      <c r="I55" s="17" t="inlineStr"/>
    </row>
    <row r="56">
      <c r="A56" s="21" t="n">
        <v>46</v>
      </c>
      <c r="B56" s="25" t="inlineStr">
        <is>
          <t>Session B — F. Two consecutive files in one session</t>
        </is>
      </c>
      <c r="C56" s="25" t="inlineStr">
        <is>
          <t>Periods regenerated correctly for File 2 config</t>
        </is>
      </c>
      <c r="D56" s="17" t="inlineStr"/>
      <c r="E56" s="17" t="inlineStr"/>
      <c r="F56" s="28" t="inlineStr">
        <is>
          <t>TODO</t>
        </is>
      </c>
      <c r="G56" s="17" t="inlineStr"/>
      <c r="H56" s="17" t="inlineStr"/>
      <c r="I56" s="17" t="inlineStr"/>
    </row>
    <row r="57">
      <c r="A57" s="22" t="inlineStr">
        <is>
          <t>Session B — G. Result isolation between files</t>
        </is>
      </c>
      <c r="B57" s="23" t="n"/>
      <c r="C57" s="23" t="n"/>
      <c r="D57" s="23" t="n"/>
      <c r="E57" s="23" t="n"/>
      <c r="F57" s="23" t="n"/>
      <c r="G57" s="23" t="n"/>
      <c r="H57" s="23" t="n"/>
      <c r="I57" s="24" t="n"/>
    </row>
    <row r="58">
      <c r="A58" s="21" t="n">
        <v>47</v>
      </c>
      <c r="B58" s="25" t="inlineStr">
        <is>
          <t>Session B — G. Result isolation between files</t>
        </is>
      </c>
      <c r="C58" s="25" t="inlineStr">
        <is>
          <t>L01–L12 output File 2: fully independent of File 1</t>
        </is>
      </c>
      <c r="D58" s="17" t="inlineStr"/>
      <c r="E58" s="17" t="inlineStr"/>
      <c r="F58" s="28" t="inlineStr">
        <is>
          <t>TODO</t>
        </is>
      </c>
      <c r="G58" s="17" t="inlineStr"/>
      <c r="H58" s="17" t="inlineStr"/>
      <c r="I58" s="17" t="inlineStr"/>
    </row>
    <row r="59">
      <c r="A59" s="21" t="n">
        <v>48</v>
      </c>
      <c r="B59" s="25" t="inlineStr">
        <is>
          <t>Session B — G. Result isolation between files</t>
        </is>
      </c>
      <c r="C59" s="25" t="inlineStr">
        <is>
          <t>Consolidations File 2: based on File 2 data only</t>
        </is>
      </c>
      <c r="D59" s="17" t="inlineStr"/>
      <c r="E59" s="17" t="inlineStr"/>
      <c r="F59" s="28" t="inlineStr">
        <is>
          <t>TODO</t>
        </is>
      </c>
      <c r="G59" s="17" t="inlineStr"/>
      <c r="H59" s="17" t="inlineStr"/>
      <c r="I59" s="17" t="inlineStr"/>
    </row>
    <row r="60">
      <c r="A60" s="21" t="n">
        <v>49</v>
      </c>
      <c r="B60" s="25" t="inlineStr">
        <is>
          <t>Session B — G. Result isolation between files</t>
        </is>
      </c>
      <c r="C60" s="25" t="inlineStr">
        <is>
          <t>Export Excel File 2: contains NO data of File 1</t>
        </is>
      </c>
      <c r="D60" s="17" t="inlineStr"/>
      <c r="E60" s="17" t="inlineStr"/>
      <c r="F60" s="28" t="inlineStr">
        <is>
          <t>TODO</t>
        </is>
      </c>
      <c r="G60" s="17" t="inlineStr"/>
      <c r="H60" s="17" t="inlineStr"/>
      <c r="I60" s="17" t="inlineStr"/>
    </row>
    <row r="61">
      <c r="A61" s="21" t="n">
        <v>50</v>
      </c>
      <c r="B61" s="25" t="inlineStr">
        <is>
          <t>Session B — G. Result isolation between files</t>
        </is>
      </c>
      <c r="C61" s="25" t="inlineStr">
        <is>
          <t>Export DB File 2: contains NO records of File 1</t>
        </is>
      </c>
      <c r="D61" s="17" t="inlineStr"/>
      <c r="E61" s="17" t="inlineStr"/>
      <c r="F61" s="28" t="inlineStr">
        <is>
          <t>TODO</t>
        </is>
      </c>
      <c r="G61" s="17" t="inlineStr"/>
      <c r="H61" s="17" t="inlineStr"/>
      <c r="I61" s="17" t="inlineStr"/>
    </row>
    <row r="62">
      <c r="A62" s="21" t="n">
        <v>51</v>
      </c>
      <c r="B62" s="25" t="inlineStr">
        <is>
          <t>Session B — G. Result isolation between files</t>
        </is>
      </c>
      <c r="C62" s="25" t="inlineStr">
        <is>
          <t>Memory/state: no variables or caches of File 1 active</t>
        </is>
      </c>
      <c r="D62" s="17" t="inlineStr"/>
      <c r="E62" s="17" t="inlineStr"/>
      <c r="F62" s="28" t="inlineStr">
        <is>
          <t>TODO</t>
        </is>
      </c>
      <c r="G62" s="17" t="inlineStr"/>
      <c r="H62" s="17" t="inlineStr"/>
      <c r="I62" s="17" t="inlineStr"/>
    </row>
    <row r="63">
      <c r="A63" s="22" t="inlineStr">
        <is>
          <t>Session B — H. Cycle management over several files</t>
        </is>
      </c>
      <c r="B63" s="23" t="n"/>
      <c r="C63" s="23" t="n"/>
      <c r="D63" s="23" t="n"/>
      <c r="E63" s="23" t="n"/>
      <c r="F63" s="23" t="n"/>
      <c r="G63" s="23" t="n"/>
      <c r="H63" s="23" t="n"/>
      <c r="I63" s="24" t="n"/>
    </row>
    <row r="64">
      <c r="A64" s="21" t="n">
        <v>52</v>
      </c>
      <c r="B64" s="25" t="inlineStr">
        <is>
          <t>Session B — H. Cycle management over several files</t>
        </is>
      </c>
      <c r="C64" s="25" t="inlineStr">
        <is>
          <t>CycleManager: File 1 result stored as previous cycle</t>
        </is>
      </c>
      <c r="D64" s="17" t="inlineStr"/>
      <c r="E64" s="17" t="inlineStr"/>
      <c r="F64" s="28" t="inlineStr">
        <is>
          <t>TODO</t>
        </is>
      </c>
      <c r="G64" s="17" t="inlineStr"/>
      <c r="H64" s="17" t="inlineStr"/>
      <c r="I64" s="17" t="inlineStr"/>
    </row>
    <row r="65">
      <c r="A65" s="21" t="n">
        <v>53</v>
      </c>
      <c r="B65" s="25" t="inlineStr">
        <is>
          <t>Session B — H. Cycle management over several files</t>
        </is>
      </c>
      <c r="C65" s="25" t="inlineStr">
        <is>
          <t>CycleManager: after loading File 2 the previous cycle is still File 1</t>
        </is>
      </c>
      <c r="D65" s="17" t="inlineStr"/>
      <c r="E65" s="17" t="inlineStr"/>
      <c r="F65" s="28" t="inlineStr">
        <is>
          <t>TODO</t>
        </is>
      </c>
      <c r="G65" s="17" t="inlineStr"/>
      <c r="H65" s="17" t="inlineStr"/>
      <c r="I65" s="17" t="inlineStr"/>
    </row>
    <row r="66">
      <c r="A66" s="21" t="n">
        <v>54</v>
      </c>
      <c r="B66" s="25" t="inlineStr">
        <is>
          <t>Session B — H. Cycle management over several files</t>
        </is>
      </c>
      <c r="C66" s="25" t="inlineStr">
        <is>
          <t>MoM comparison: compares File 2 (current) vs. File 1 (previous)</t>
        </is>
      </c>
      <c r="D66" s="17" t="inlineStr"/>
      <c r="E66" s="17" t="inlineStr"/>
      <c r="F66" s="28" t="inlineStr">
        <is>
          <t>TODO</t>
        </is>
      </c>
      <c r="G66" s="17" t="inlineStr"/>
      <c r="H66" s="17" t="inlineStr"/>
      <c r="I66" s="17" t="inlineStr"/>
    </row>
    <row r="67">
      <c r="A67" s="21" t="n">
        <v>55</v>
      </c>
      <c r="B67" s="25" t="inlineStr">
        <is>
          <t>Session B — H. Cycle management over several files</t>
        </is>
      </c>
      <c r="C67" s="25" t="inlineStr">
        <is>
          <t>MoM deltas: realistic given the two different input files</t>
        </is>
      </c>
      <c r="D67" s="17" t="inlineStr"/>
      <c r="E67" s="17" t="inlineStr"/>
      <c r="F67" s="28" t="inlineStr">
        <is>
          <t>TODO</t>
        </is>
      </c>
      <c r="G67" s="17" t="inlineStr"/>
      <c r="H67" s="17" t="inlineStr"/>
      <c r="I67" s="17" t="inlineStr"/>
    </row>
    <row r="68">
      <c r="A68" s="21" t="n">
        <v>56</v>
      </c>
      <c r="B68" s="25" t="inlineStr">
        <is>
          <t>Session B — H. Cycle management over several files</t>
        </is>
      </c>
      <c r="C68" s="25" t="inlineStr">
        <is>
          <t>Scatter data: shows the comparison between both files</t>
        </is>
      </c>
      <c r="D68" s="17" t="inlineStr"/>
      <c r="E68" s="17" t="inlineStr"/>
      <c r="F68" s="28" t="inlineStr">
        <is>
          <t>TODO</t>
        </is>
      </c>
      <c r="G68" s="17" t="inlineStr"/>
      <c r="H68" s="17" t="inlineStr"/>
      <c r="I68" s="17" t="inlineStr"/>
    </row>
    <row r="69">
      <c r="A69" s="22" t="inlineStr">
        <is>
          <t>Session B — I. Session stability</t>
        </is>
      </c>
      <c r="B69" s="23" t="n"/>
      <c r="C69" s="23" t="n"/>
      <c r="D69" s="23" t="n"/>
      <c r="E69" s="23" t="n"/>
      <c r="F69" s="23" t="n"/>
      <c r="G69" s="23" t="n"/>
      <c r="H69" s="23" t="n"/>
      <c r="I69" s="24" t="n"/>
    </row>
    <row r="70">
      <c r="A70" s="21" t="n">
        <v>57</v>
      </c>
      <c r="B70" s="25" t="inlineStr">
        <is>
          <t>Session B — I. Session stability</t>
        </is>
      </c>
      <c r="C70" s="25" t="inlineStr">
        <is>
          <t>No memory leaks after 2 consecutive calculations</t>
        </is>
      </c>
      <c r="D70" s="17" t="inlineStr"/>
      <c r="E70" s="17" t="inlineStr"/>
      <c r="F70" s="28" t="inlineStr">
        <is>
          <t>TODO</t>
        </is>
      </c>
      <c r="G70" s="17" t="inlineStr"/>
      <c r="H70" s="17" t="inlineStr"/>
      <c r="I70" s="17" t="inlineStr"/>
    </row>
    <row r="71">
      <c r="A71" s="21" t="n">
        <v>58</v>
      </c>
      <c r="B71" s="25" t="inlineStr">
        <is>
          <t>Session B — I. Session stability</t>
        </is>
      </c>
      <c r="C71" s="25" t="inlineStr">
        <is>
          <t>UI responsive after the second calculation</t>
        </is>
      </c>
      <c r="D71" s="17" t="inlineStr"/>
      <c r="E71" s="17" t="inlineStr"/>
      <c r="F71" s="28" t="inlineStr">
        <is>
          <t>TODO</t>
        </is>
      </c>
      <c r="G71" s="17" t="inlineStr"/>
      <c r="H71" s="17" t="inlineStr"/>
      <c r="I71" s="17" t="inlineStr"/>
    </row>
    <row r="72">
      <c r="A72" s="21" t="n">
        <v>59</v>
      </c>
      <c r="B72" s="25" t="inlineStr">
        <is>
          <t>Session B — I. Session stability</t>
        </is>
      </c>
      <c r="C72" s="25" t="inlineStr">
        <is>
          <t>Export links for BOTH runs available (or correctly overwritten)</t>
        </is>
      </c>
      <c r="D72" s="17" t="inlineStr"/>
      <c r="E72" s="17" t="inlineStr"/>
      <c r="F72" s="28" t="inlineStr">
        <is>
          <t>TODO</t>
        </is>
      </c>
      <c r="G72" s="17" t="inlineStr"/>
      <c r="H72" s="17" t="inlineStr"/>
      <c r="I72" s="17" t="inlineStr"/>
    </row>
    <row r="73">
      <c r="A73" s="21" t="n">
        <v>60</v>
      </c>
      <c r="B73" s="25" t="inlineStr">
        <is>
          <t>Session B — I. Session stability</t>
        </is>
      </c>
      <c r="C73" s="25" t="inlineStr">
        <is>
          <t>Error messages / warnings separated per run — no mixing</t>
        </is>
      </c>
      <c r="D73" s="17" t="inlineStr"/>
      <c r="E73" s="17" t="inlineStr"/>
      <c r="F73" s="28" t="inlineStr">
        <is>
          <t>TODO</t>
        </is>
      </c>
      <c r="G73" s="17" t="inlineStr"/>
      <c r="H73" s="17" t="inlineStr"/>
      <c r="I73" s="17" t="inlineStr"/>
    </row>
    <row r="74">
      <c r="A74" s="21" t="n">
        <v>61</v>
      </c>
      <c r="B74" s="25" t="inlineStr">
        <is>
          <t>Session B — I. Session stability</t>
        </is>
      </c>
      <c r="C74" s="25" t="inlineStr">
        <is>
          <t>Close the app after 2 runs — clean shutdown, no data corruption</t>
        </is>
      </c>
      <c r="D74" s="17" t="inlineStr"/>
      <c r="E74" s="17" t="inlineStr"/>
      <c r="F74" s="28" t="inlineStr">
        <is>
          <t>TODO</t>
        </is>
      </c>
      <c r="G74" s="17" t="inlineStr"/>
      <c r="H74" s="17" t="inlineStr"/>
      <c r="I74" s="17" t="inlineStr"/>
    </row>
  </sheetData>
  <autoFilter ref="A4:I4"/>
  <mergeCells count="11">
    <mergeCell ref="A69:I69"/>
    <mergeCell ref="A57:I57"/>
    <mergeCell ref="A2:I2"/>
    <mergeCell ref="A51:I51"/>
    <mergeCell ref="A63:I63"/>
    <mergeCell ref="A10:I10"/>
    <mergeCell ref="A5:I5"/>
    <mergeCell ref="A1:I1"/>
    <mergeCell ref="A45:I45"/>
    <mergeCell ref="A34:I34"/>
    <mergeCell ref="A26:I26"/>
  </mergeCells>
  <conditionalFormatting sqref="F5:F75">
    <cfRule type="cellIs" priority="1" operator="equal" dxfId="1">
      <formula>"PASS"</formula>
    </cfRule>
    <cfRule type="cellIs" priority="2" operator="equal" dxfId="0">
      <formula>"FAIL"</formula>
    </cfRule>
    <cfRule type="cellIs" priority="3" operator="equal" dxfId="2">
      <formula>"BLOCKED"</formula>
    </cfRule>
    <cfRule type="cellIs" priority="4" operator="equal" dxfId="3">
      <formula>"N/A"</formula>
    </cfRule>
  </conditionalFormatting>
  <dataValidations count="1">
    <dataValidation sqref="F5:F75" showDropDown="0" showInputMessage="0" showErrorMessage="0" allowBlank="1" type="list">
      <formula1>"TODO,PASS,FAIL,BLOCKED,N/A"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12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6" customWidth="1" min="2" max="2"/>
    <col width="22" customWidth="1" min="3" max="3"/>
    <col width="44" customWidth="1" min="4" max="4"/>
    <col width="56" customWidth="1" min="5" max="5"/>
    <col width="22" customWidth="1" min="6" max="6"/>
    <col width="10" customWidth="1" min="7" max="7"/>
    <col width="30" customWidth="1" min="8" max="8"/>
    <col width="22" customWidth="1" min="9" max="9"/>
  </cols>
  <sheetData>
    <row r="1" ht="26" customHeight="1">
      <c r="A1" s="16" t="inlineStr">
        <is>
          <t>Human verification tests A–K (step-based, original 10-DOF cross-feature tests + F, G, H, I, K)</t>
        </is>
      </c>
    </row>
    <row r="2">
      <c r="A2" s="2" t="inlineStr">
        <is>
          <t>A+B and C+D run in parallel with two testers; E, F, G, H, I, K solo. Each step: perform the action, tick every checkpoint, note observed values. Material numbers refer to the golden fixture (NLX1, 2025-12).</t>
        </is>
      </c>
    </row>
    <row r="4" ht="30" customHeight="1">
      <c r="A4" s="7" t="inlineStr">
        <is>
          <t>Test</t>
        </is>
      </c>
      <c r="B4" s="7" t="inlineStr">
        <is>
          <t>Step</t>
        </is>
      </c>
      <c r="C4" s="7" t="inlineStr">
        <is>
          <t>Tab / tester</t>
        </is>
      </c>
      <c r="D4" s="7" t="inlineStr">
        <is>
          <t>Action (input)</t>
        </is>
      </c>
      <c r="E4" s="7" t="inlineStr">
        <is>
          <t>Verify checkpoints (expected)</t>
        </is>
      </c>
      <c r="F4" s="7" t="inlineStr">
        <is>
          <t>Observed value(s)</t>
        </is>
      </c>
      <c r="G4" s="7" t="inlineStr">
        <is>
          <t>Status</t>
        </is>
      </c>
      <c r="H4" s="7" t="inlineStr">
        <is>
          <t>Notes</t>
        </is>
      </c>
      <c r="I4" s="7" t="inlineStr">
        <is>
          <t>Screenshot / evidence</t>
        </is>
      </c>
    </row>
    <row r="5">
      <c r="A5" s="22" t="inlineStr">
        <is>
          <t>TEST A+B — Parallel — Tester 1: Machines tab · Tester 2: Planning tab</t>
        </is>
      </c>
      <c r="B5" s="23" t="n"/>
      <c r="C5" s="23" t="n"/>
      <c r="D5" s="23" t="n"/>
      <c r="E5" s="23" t="n"/>
      <c r="F5" s="23" t="n"/>
      <c r="G5" s="23" t="n"/>
      <c r="H5" s="23" t="n"/>
      <c r="I5" s="24" t="n"/>
    </row>
    <row r="6">
      <c r="A6" s="21" t="inlineStr">
        <is>
          <t>A+B</t>
        </is>
      </c>
      <c r="B6" s="21" t="n">
        <v>1</v>
      </c>
      <c r="C6" s="25" t="inlineStr">
        <is>
          <t>T1 Machines / T2 Planning</t>
        </is>
      </c>
      <c r="D6" s="25" t="inlineStr">
        <is>
          <t>T1: Edit PBA11 OEE: lower by 10 %.  T2: Edit demand forecast for high-volume bulk material 600007751 P1: increase by 30 % (m12 → 2k, m3 → 3k).</t>
        </is>
      </c>
      <c r="E6" s="25" t="inlineStr">
        <is>
          <t>Machines: PBA11 util % increased, group row updated · Planning: L06 production plan recalculated for that material · Dashboard: utilisation chart reflects BOTH changes</t>
        </is>
      </c>
      <c r="F6" s="17" t="inlineStr"/>
      <c r="G6" s="28" t="inlineStr">
        <is>
          <t>TODO</t>
        </is>
      </c>
      <c r="H6" s="17" t="inlineStr"/>
      <c r="I6" s="17" t="inlineStr"/>
    </row>
    <row r="7">
      <c r="A7" s="21" t="inlineStr">
        <is>
          <t>A+B</t>
        </is>
      </c>
      <c r="B7" s="21" t="n">
        <v>2</v>
      </c>
      <c r="C7" s="25" t="inlineStr">
        <is>
          <t>T1 Machines / T2 Planning</t>
        </is>
      </c>
      <c r="D7" s="25" t="inlineStr">
        <is>
          <t>T1: Edit PM06 availability: set to 80 % uniform.  T2: Edit MTS (L05) for the same material P1: set to 500.</t>
        </is>
      </c>
      <c r="E7" s="25" t="inlineStr">
        <is>
          <t>Machines: PBA12 util spikes (lower avail = higher util) · Planning: L06 increased to cover stock build + demand · Machines: machine with that material's routing shows changed req hours</t>
        </is>
      </c>
      <c r="F7" s="17" t="inlineStr"/>
      <c r="G7" s="28" t="inlineStr">
        <is>
          <t>TODO</t>
        </is>
      </c>
      <c r="H7" s="17" t="inlineStr"/>
      <c r="I7" s="17" t="inlineStr"/>
    </row>
    <row r="8">
      <c r="A8" s="21" t="inlineStr">
        <is>
          <t>A+B</t>
        </is>
      </c>
      <c r="B8" s="21" t="n">
        <v>3</v>
      </c>
      <c r="C8" s="25" t="inlineStr">
        <is>
          <t>T1 Machines / T2 Planning</t>
        </is>
      </c>
      <c r="D8" s="25" t="inlineStr">
        <is>
          <t>T1: Click Undo and Redo on Machines tab (PBA12 avail reverts).  T2: Edit demand forecast for a 2nd material group P2 (600010763, 600008696, 600010663): decrease by 50 % until month 5.</t>
        </is>
      </c>
      <c r="E8" s="25" t="inlineStr">
        <is>
          <t>PBA12 availability back to original (per period) · Planning: L06 for 2nd material drops · Machines: machine for 2nd material shows lower util in P2</t>
        </is>
      </c>
      <c r="F8" s="17" t="inlineStr"/>
      <c r="G8" s="28" t="inlineStr">
        <is>
          <t>TODO</t>
        </is>
      </c>
      <c r="H8" s="17" t="inlineStr"/>
      <c r="I8" s="17" t="inlineStr"/>
    </row>
    <row r="9">
      <c r="A9" s="21" t="inlineStr">
        <is>
          <t>A+B</t>
        </is>
      </c>
      <c r="B9" s="21" t="n">
        <v>4</v>
      </c>
      <c r="C9" s="25" t="inlineStr">
        <is>
          <t>T1 Machines / T2 Planning</t>
        </is>
      </c>
      <c r="D9" s="25" t="inlineStr">
        <is>
          <t>T1: Edit PML01 OEE: decrease by 15 %.  T2: Edit product price (value aux) for material 1: change to 60 EUR.</t>
        </is>
      </c>
      <c r="E9" s="25" t="inlineStr">
        <is>
          <t>PML01 util rises · Value planning: revenue row for material 1 changes · Machines: utilisation UNCHANGED by price edit (isolation check)</t>
        </is>
      </c>
      <c r="F9" s="17" t="inlineStr"/>
      <c r="G9" s="28" t="inlineStr">
        <is>
          <t>TODO</t>
        </is>
      </c>
      <c r="H9" s="17" t="inlineStr"/>
      <c r="I9" s="17" t="inlineStr"/>
    </row>
    <row r="10">
      <c r="A10" s="21" t="inlineStr">
        <is>
          <t>A+B</t>
        </is>
      </c>
      <c r="B10" s="21" t="n">
        <v>5</v>
      </c>
      <c r="C10" s="25" t="inlineStr">
        <is>
          <t>T1 Machines / T2 Planning</t>
        </is>
      </c>
      <c r="D10" s="25" t="inlineStr">
        <is>
          <t>T1: Edit PBA21 availability: set to 65 %.  T2: Click Volume Undo on Planning tab (reverts last demand change).</t>
        </is>
      </c>
      <c r="E10" s="25" t="inlineStr">
        <is>
          <t>PBA21 util increases · Planning: 2nd material demand back to original · Machines: machine for 2nd material util back to pre-step-3 value</t>
        </is>
      </c>
      <c r="F10" s="17" t="inlineStr"/>
      <c r="G10" s="28" t="inlineStr">
        <is>
          <t>TODO</t>
        </is>
      </c>
      <c r="H10" s="17" t="inlineStr"/>
      <c r="I10" s="17" t="inlineStr"/>
    </row>
    <row r="11">
      <c r="A11" s="21" t="inlineStr">
        <is>
          <t>A+B</t>
        </is>
      </c>
      <c r="B11" s="21" t="n">
        <v>6</v>
      </c>
      <c r="C11" s="25" t="inlineStr">
        <is>
          <t>T1 Machines / T2 Planning</t>
        </is>
      </c>
      <c r="D11" s="25" t="inlineStr">
        <is>
          <t>T1: Click Undo on Machines tab (PBA21 avail reverts).  T2: Edit MTS for a 3rd material P3 (600013550): set to 300.</t>
        </is>
      </c>
      <c r="E11" s="25" t="inlineStr">
        <is>
          <t>PBA21 availability restored · Planning: L06 for 3rd material P3 shows production increase · Machines: routing machine for 3rd material shows higher req hours P3</t>
        </is>
      </c>
      <c r="F11" s="17" t="inlineStr"/>
      <c r="G11" s="28" t="inlineStr">
        <is>
          <t>TODO</t>
        </is>
      </c>
      <c r="H11" s="17" t="inlineStr"/>
      <c r="I11" s="17" t="inlineStr"/>
    </row>
    <row r="12">
      <c r="A12" s="21" t="inlineStr">
        <is>
          <t>A+B</t>
        </is>
      </c>
      <c r="B12" s="21" t="n">
        <v>7</v>
      </c>
      <c r="C12" s="25" t="inlineStr">
        <is>
          <t>T1 Machines / T2 Planning</t>
        </is>
      </c>
      <c r="D12" s="25" t="inlineStr">
        <is>
          <t>T1: Edit PPM14 OEE: set to 35 % (extreme low).  T2: Edit demand forecast for material 1 P3: increase by 100 % (600013550, 600011097, 600010878).</t>
        </is>
      </c>
      <c r="E12" s="25" t="inlineStr">
        <is>
          <t>PPM14 util very high (potentially &gt; 100 %) · Heatmap: PBA11 row P1–P3 all red · Planning: L06 for material 1 P3 reflects doubled demand</t>
        </is>
      </c>
      <c r="F12" s="17" t="inlineStr"/>
      <c r="G12" s="28" t="inlineStr">
        <is>
          <t>TODO</t>
        </is>
      </c>
      <c r="H12" s="17" t="inlineStr"/>
      <c r="I12" s="17" t="inlineStr"/>
    </row>
    <row r="13">
      <c r="A13" s="21" t="inlineStr">
        <is>
          <t>A+B</t>
        </is>
      </c>
      <c r="B13" s="21" t="n">
        <v>8</v>
      </c>
      <c r="C13" s="25" t="inlineStr">
        <is>
          <t>T1 Machines / T2 Planning</t>
        </is>
      </c>
      <c r="D13" s="25" t="inlineStr">
        <is>
          <t>T1: Edit PML01 availability: back to 50 %.  T2: Click Volume Undo (reverts material 1 P3 demand).</t>
        </is>
      </c>
      <c r="E13" s="25" t="inlineStr">
        <is>
          <t>PML01 util spikes (half availability) · Material 1 P3 demand back to step-7 pre-edit value · FTE requirements table: group with PML01 shows higher FTE</t>
        </is>
      </c>
      <c r="F13" s="17" t="inlineStr"/>
      <c r="G13" s="28" t="inlineStr">
        <is>
          <t>TODO</t>
        </is>
      </c>
      <c r="H13" s="17" t="inlineStr"/>
      <c r="I13" s="17" t="inlineStr"/>
    </row>
    <row r="14">
      <c r="A14" s="21" t="inlineStr">
        <is>
          <t>A+B</t>
        </is>
      </c>
      <c r="B14" s="21" t="n">
        <v>9</v>
      </c>
      <c r="C14" s="25" t="inlineStr">
        <is>
          <t>T1 Machines / T2 Planning</t>
        </is>
      </c>
      <c r="D14" s="25" t="inlineStr">
        <is>
          <t>T1: Click Reset on Machines tab.  T2: Edit demand forecast for material 3 P1: decrease by 40 %.</t>
        </is>
      </c>
      <c r="E14" s="25" t="inlineStr">
        <is>
          <t>ALL machine OEE/availability back to original · All machine utils recalculated with original params · Planning demand edits STILL present (reset only affects machines) · Planning: material 3 shows lower L06</t>
        </is>
      </c>
      <c r="F14" s="17" t="inlineStr"/>
      <c r="G14" s="28" t="inlineStr">
        <is>
          <t>TODO</t>
        </is>
      </c>
      <c r="H14" s="17" t="inlineStr"/>
      <c r="I14" s="17" t="inlineStr"/>
    </row>
    <row r="15">
      <c r="A15" s="21" t="inlineStr">
        <is>
          <t>A+B</t>
        </is>
      </c>
      <c r="B15" s="21" t="n">
        <v>10</v>
      </c>
      <c r="C15" s="25" t="inlineStr">
        <is>
          <t>both</t>
        </is>
      </c>
      <c r="D15" s="25" t="inlineStr">
        <is>
          <t>T1: Verify Undo disabled after reset.  T2: Verify cross-tab consistency.</t>
        </is>
      </c>
      <c r="E15" s="25" t="inlineStr">
        <is>
          <t>Machines: Undo button greyed out · Dashboard KPIs match Machines tab values · Planning L07/L08/L09/L10/L12 match Machines tab columns · FTE totals on Machines tab match Planning L12 sums</t>
        </is>
      </c>
      <c r="F15" s="17" t="inlineStr"/>
      <c r="G15" s="28" t="inlineStr">
        <is>
          <t>TODO</t>
        </is>
      </c>
      <c r="H15" s="17" t="inlineStr"/>
      <c r="I15" s="17" t="inlineStr"/>
    </row>
    <row r="16">
      <c r="A16" s="22" t="inlineStr">
        <is>
          <t>TEST C+D — Parallel — Tester 1: Charts / Heatmap · Tester 2: Edits</t>
        </is>
      </c>
      <c r="B16" s="23" t="n"/>
      <c r="C16" s="23" t="n"/>
      <c r="D16" s="23" t="n"/>
      <c r="E16" s="23" t="n"/>
      <c r="F16" s="23" t="n"/>
      <c r="G16" s="23" t="n"/>
      <c r="H16" s="23" t="n"/>
      <c r="I16" s="24" t="n"/>
    </row>
    <row r="17">
      <c r="A17" s="21" t="inlineStr">
        <is>
          <t>C+D</t>
        </is>
      </c>
      <c r="B17" s="21" t="n">
        <v>1</v>
      </c>
      <c r="C17" s="25" t="inlineStr">
        <is>
          <t>T1 Charts / T2 Edits</t>
        </is>
      </c>
      <c r="D17" s="25" t="inlineStr">
        <is>
          <t>T1: Open utilisation chart (slot 1), note PBA group line position.  T2: Edit PBA11 OEE: lower to 1 %.</t>
        </is>
      </c>
      <c r="E17" s="25" t="inlineStr">
        <is>
          <t>Chart line for PBA group moves UP immediately · Heatmap: PBA11 cells change colour if crossing threshold</t>
        </is>
      </c>
      <c r="F17" s="17" t="inlineStr"/>
      <c r="G17" s="28" t="inlineStr">
        <is>
          <t>TODO</t>
        </is>
      </c>
      <c r="H17" s="17" t="inlineStr"/>
      <c r="I17" s="17" t="inlineStr"/>
    </row>
    <row r="18">
      <c r="A18" s="21" t="inlineStr">
        <is>
          <t>C+D</t>
        </is>
      </c>
      <c r="B18" s="21" t="n">
        <v>2</v>
      </c>
      <c r="C18" s="25" t="inlineStr">
        <is>
          <t>T1 Charts / T2 Edits</t>
        </is>
      </c>
      <c r="D18" s="25" t="inlineStr">
        <is>
          <t>T1: Change heatmap green threshold from 80 to 70.  T2: Edit demand for PBA11's material P2 (600003816): increase ×10.</t>
        </is>
      </c>
      <c r="E18" s="25" t="inlineStr">
        <is>
          <t>Cells between 70–80 % turn yellow (were green) · Chart threshold lines move to 70 % green, same red · PBA11 P2 util even higher (OEE + demand change stacked)</t>
        </is>
      </c>
      <c r="F18" s="17" t="inlineStr"/>
      <c r="G18" s="28" t="inlineStr">
        <is>
          <t>TODO</t>
        </is>
      </c>
      <c r="H18" s="17" t="inlineStr"/>
      <c r="I18" s="17" t="inlineStr"/>
    </row>
    <row r="19">
      <c r="A19" s="21" t="inlineStr">
        <is>
          <t>C+D</t>
        </is>
      </c>
      <c r="B19" s="21" t="n">
        <v>3</v>
      </c>
      <c r="C19" s="25" t="inlineStr">
        <is>
          <t>T1 Charts / T2 Edits</t>
        </is>
      </c>
      <c r="D19" s="25" t="inlineStr">
        <is>
          <t>T1: Open FTE chart (slot 2).  T2: Edit PBA11 availability: set to 55 %.</t>
        </is>
      </c>
      <c r="E19" s="25" t="inlineStr">
        <is>
          <t>FTE bar for PBA21's group gets taller · Utilisation chart: PBA21 group line rises · Heatmap: PBA21 cells likely red at 55 % avail</t>
        </is>
      </c>
      <c r="F19" s="17" t="inlineStr"/>
      <c r="G19" s="28" t="inlineStr">
        <is>
          <t>TODO</t>
        </is>
      </c>
      <c r="H19" s="17" t="inlineStr"/>
      <c r="I19" s="17" t="inlineStr"/>
    </row>
    <row r="20">
      <c r="A20" s="21" t="inlineStr">
        <is>
          <t>C+D</t>
        </is>
      </c>
      <c r="B20" s="21" t="n">
        <v>4</v>
      </c>
      <c r="C20" s="25" t="inlineStr">
        <is>
          <t>T1 Charts / T2 Edits</t>
        </is>
      </c>
      <c r="D20" s="25" t="inlineStr">
        <is>
          <t>T1: Change heatmap red threshold from 95 to 85.  T2: Edit product price for any material: double it.</t>
        </is>
      </c>
      <c r="E20" s="25" t="inlineStr">
        <is>
          <t>More cells turn red (lower threshold) · OEE table colour squares update to match new thresholds · Charts/heatmap: NO change from price edit (isolation)</t>
        </is>
      </c>
      <c r="F20" s="17" t="inlineStr"/>
      <c r="G20" s="28" t="inlineStr">
        <is>
          <t>TODO</t>
        </is>
      </c>
      <c r="H20" s="17" t="inlineStr"/>
      <c r="I20" s="17" t="inlineStr"/>
    </row>
    <row r="21">
      <c r="A21" s="21" t="inlineStr">
        <is>
          <t>C+D</t>
        </is>
      </c>
      <c r="B21" s="21" t="n">
        <v>5</v>
      </c>
      <c r="C21" s="25" t="inlineStr">
        <is>
          <t>T1 Charts / T2 Edits</t>
        </is>
      </c>
      <c r="D21" s="25" t="inlineStr">
        <is>
          <t>T1: Select 'Utilisation per machine' from chart dropdown (slot 1).  T2: Click Undo on Machines tab (PBA11 avail reverts).</t>
        </is>
      </c>
      <c r="E21" s="25" t="inlineStr">
        <is>
          <t>Dashboard util chart snapshot appears in slot 1 · PBA21 group: FTE and util drop back · Heatmap: PBA21 cells return to pre-step-3 colours</t>
        </is>
      </c>
      <c r="F21" s="17" t="inlineStr"/>
      <c r="G21" s="28" t="inlineStr">
        <is>
          <t>TODO</t>
        </is>
      </c>
      <c r="H21" s="17" t="inlineStr"/>
      <c r="I21" s="17" t="inlineStr"/>
    </row>
    <row r="22">
      <c r="A22" s="21" t="inlineStr">
        <is>
          <t>C+D</t>
        </is>
      </c>
      <c r="B22" s="21" t="n">
        <v>6</v>
      </c>
      <c r="C22" s="25" t="inlineStr">
        <is>
          <t>T1 Charts</t>
        </is>
      </c>
      <c r="D22" s="25" t="inlineStr">
        <is>
          <t>T1: Drag a group point on the utilisation chart DOWN to 60 % target.  T2: watch.</t>
        </is>
      </c>
      <c r="E22" s="25" t="inlineStr">
        <is>
          <t>Live panel shows '60 %' while dragging · On release: panel shows required OEE per machine · Each machine's required OEE is mathematically correct (hand-check one: OEE_req = OEE × util / 0.60)</t>
        </is>
      </c>
      <c r="F22" s="17" t="inlineStr"/>
      <c r="G22" s="28" t="inlineStr">
        <is>
          <t>TODO</t>
        </is>
      </c>
      <c r="H22" s="17" t="inlineStr"/>
      <c r="I22" s="17" t="inlineStr"/>
    </row>
    <row r="23">
      <c r="A23" s="21" t="inlineStr">
        <is>
          <t>C+D</t>
        </is>
      </c>
      <c r="B23" s="21" t="n">
        <v>7</v>
      </c>
      <c r="C23" s="25" t="inlineStr">
        <is>
          <t>T1 Charts / T2 Edits</t>
        </is>
      </c>
      <c r="D23" s="25" t="inlineStr">
        <is>
          <t>T1: Click Cancel in the drag panel.  T2: Edit MTS for any material P1: set to 400.</t>
        </is>
      </c>
      <c r="E23" s="25" t="inlineStr">
        <is>
          <t>Chart snaps back to pre-drag position · Table values unchanged · Planning: L06 P1 increased for that material</t>
        </is>
      </c>
      <c r="F23" s="17" t="inlineStr"/>
      <c r="G23" s="28" t="inlineStr">
        <is>
          <t>TODO</t>
        </is>
      </c>
      <c r="H23" s="17" t="inlineStr"/>
      <c r="I23" s="17" t="inlineStr"/>
    </row>
    <row r="24">
      <c r="A24" s="21" t="inlineStr">
        <is>
          <t>C+D</t>
        </is>
      </c>
      <c r="B24" s="21" t="n">
        <v>8</v>
      </c>
      <c r="C24" s="25" t="inlineStr">
        <is>
          <t>T1 Charts</t>
        </is>
      </c>
      <c r="D24" s="25" t="inlineStr">
        <is>
          <t>T1: Drag the same group point DOWN to 50 % target.  T2: watch.</t>
        </is>
      </c>
      <c r="E24" s="25" t="inlineStr">
        <is>
          <t>Panel shows new required OEE values for 50 % target · Required OEEs are lower than step 6</t>
        </is>
      </c>
      <c r="F24" s="17" t="inlineStr"/>
      <c r="G24" s="28" t="inlineStr">
        <is>
          <t>TODO</t>
        </is>
      </c>
      <c r="H24" s="17" t="inlineStr"/>
      <c r="I24" s="17" t="inlineStr"/>
    </row>
    <row r="25">
      <c r="A25" s="21" t="inlineStr">
        <is>
          <t>C+D</t>
        </is>
      </c>
      <c r="B25" s="21" t="n">
        <v>9</v>
      </c>
      <c r="C25" s="25" t="inlineStr">
        <is>
          <t>T1 Charts / T2 Edits</t>
        </is>
      </c>
      <c r="D25" s="25" t="inlineStr">
        <is>
          <t>T1: Click Apply.  T2: Verify OEE table updated.</t>
        </is>
      </c>
      <c r="E25" s="25" t="inlineStr">
        <is>
          <t>OEE values in table match the panel's suggested values · Group util now ~50 % for that period · Heatmap colours update · FTE chart updates (lower capacity hours)</t>
        </is>
      </c>
      <c r="F25" s="17" t="inlineStr"/>
      <c r="G25" s="28" t="inlineStr">
        <is>
          <t>TODO</t>
        </is>
      </c>
      <c r="H25" s="17" t="inlineStr"/>
      <c r="I25" s="17" t="inlineStr"/>
    </row>
    <row r="26">
      <c r="A26" s="21" t="inlineStr">
        <is>
          <t>C+D</t>
        </is>
      </c>
      <c r="B26" s="21" t="n">
        <v>10</v>
      </c>
      <c r="C26" s="25" t="inlineStr">
        <is>
          <t>both</t>
        </is>
      </c>
      <c r="D26" s="25" t="inlineStr">
        <is>
          <t>T1: Reload page (F5), re-run Calculate.  T2: Verify all state.</t>
        </is>
      </c>
      <c r="E26" s="25" t="inlineStr">
        <is>
          <t>Machine OEE/availability: back to original (drag edits NOT persisted) · Heatmap thresholds (70/85) STILL the custom values (localStorage) · Planning demand/MTS edits STILL present (pending_edits persisted) · Chart dropdown selections STILL the custom choices</t>
        </is>
      </c>
      <c r="F26" s="17" t="inlineStr"/>
      <c r="G26" s="28" t="inlineStr">
        <is>
          <t>TODO</t>
        </is>
      </c>
      <c r="H26" s="17" t="inlineStr"/>
      <c r="I26" s="17" t="inlineStr"/>
    </row>
    <row r="27">
      <c r="A27" s="22" t="inlineStr">
        <is>
          <t>TEST E — Solo — full workflow, one tester, sequential</t>
        </is>
      </c>
      <c r="B27" s="23" t="n"/>
      <c r="C27" s="23" t="n"/>
      <c r="D27" s="23" t="n"/>
      <c r="E27" s="23" t="n"/>
      <c r="F27" s="23" t="n"/>
      <c r="G27" s="23" t="n"/>
      <c r="H27" s="23" t="n"/>
      <c r="I27" s="24" t="n"/>
    </row>
    <row r="28">
      <c r="A28" s="21" t="inlineStr">
        <is>
          <t>E</t>
        </is>
      </c>
      <c r="B28" s="21" t="n">
        <v>1</v>
      </c>
      <c r="C28" s="25" t="inlineStr">
        <is>
          <t>Planning</t>
        </is>
      </c>
      <c r="D28" s="25" t="inlineStr">
        <is>
          <t>Edit demand forecast for your highest-volume material 600004440: increase by 25 %.</t>
        </is>
      </c>
      <c r="E28" s="25" t="inlineStr">
        <is>
          <t>L03 total demand = new forecast + dependent demand · L06 production plan recalculated · L04 inventory reflects new balance</t>
        </is>
      </c>
      <c r="F28" s="17" t="inlineStr"/>
      <c r="G28" s="28" t="inlineStr">
        <is>
          <t>TODO</t>
        </is>
      </c>
      <c r="H28" s="17" t="inlineStr"/>
      <c r="I28" s="17" t="inlineStr"/>
    </row>
    <row r="29">
      <c r="A29" s="21" t="inlineStr">
        <is>
          <t>E</t>
        </is>
      </c>
      <c r="B29" s="21" t="n">
        <v>2</v>
      </c>
      <c r="C29" s="25" t="inlineStr">
        <is>
          <t>Machines</t>
        </is>
      </c>
      <c r="D29" s="25" t="inlineStr">
        <is>
          <t>Verify the machine for that material shows higher util.</t>
        </is>
      </c>
      <c r="E29" s="25" t="inlineStr">
        <is>
          <t>Req hours avg increased · Group util % increased · Heatmap cell for that machine/P1 changed colour if crossing threshold</t>
        </is>
      </c>
      <c r="F29" s="17" t="inlineStr"/>
      <c r="G29" s="28" t="inlineStr">
        <is>
          <t>TODO</t>
        </is>
      </c>
      <c r="H29" s="17" t="inlineStr"/>
      <c r="I29" s="17" t="inlineStr"/>
    </row>
    <row r="30">
      <c r="A30" s="21" t="inlineStr">
        <is>
          <t>E</t>
        </is>
      </c>
      <c r="B30" s="21" t="n">
        <v>3</v>
      </c>
      <c r="C30" s="25" t="inlineStr">
        <is>
          <t>Machines</t>
        </is>
      </c>
      <c r="D30" s="25" t="inlineStr">
        <is>
          <t>Edit the OEE for that same machine: lower by 15 %.</t>
        </is>
      </c>
      <c r="E30" s="25" t="inlineStr">
        <is>
          <t>Util % jumps further (lower OEE + higher demand) · Group row OEE avg decreased · FTE requirements for that group increased</t>
        </is>
      </c>
      <c r="F30" s="17" t="inlineStr"/>
      <c r="G30" s="28" t="inlineStr">
        <is>
          <t>TODO</t>
        </is>
      </c>
      <c r="H30" s="17" t="inlineStr"/>
      <c r="I30" s="17" t="inlineStr"/>
    </row>
    <row r="31">
      <c r="A31" s="21" t="inlineStr">
        <is>
          <t>E</t>
        </is>
      </c>
      <c r="B31" s="21" t="n">
        <v>4</v>
      </c>
      <c r="C31" s="25" t="inlineStr">
        <is>
          <t>Planning</t>
        </is>
      </c>
      <c r="D31" s="25" t="inlineStr">
        <is>
          <t>Edit MTS for a different material P2 (150000304 / 150000482): set to a value &gt; 0.</t>
        </is>
      </c>
      <c r="E31" s="25" t="inlineStr">
        <is>
          <t>L05 P2 shows the new target · L06 P2 production increased to build stock · L04 P2 inventory ≥ target at end of period</t>
        </is>
      </c>
      <c r="F31" s="17" t="inlineStr"/>
      <c r="G31" s="28" t="inlineStr">
        <is>
          <t>TODO</t>
        </is>
      </c>
      <c r="H31" s="17" t="inlineStr"/>
      <c r="I31" s="17" t="inlineStr"/>
    </row>
    <row r="32">
      <c r="A32" s="21" t="inlineStr">
        <is>
          <t>E</t>
        </is>
      </c>
      <c r="B32" s="21" t="n">
        <v>5</v>
      </c>
      <c r="C32" s="25" t="inlineStr">
        <is>
          <t>Machines</t>
        </is>
      </c>
      <c r="D32" s="25" t="inlineStr">
        <is>
          <t>Check that the 2nd material's machine shows changed util in P2 (purchased material → redo with 500000935).</t>
        </is>
      </c>
      <c r="E32" s="25" t="inlineStr">
        <is>
          <t>Only P2 column changed (P1/P3 may shift due to inventory cascade) · Group totals updated · Utilisation chart line for that group moved</t>
        </is>
      </c>
      <c r="F32" s="17" t="inlineStr"/>
      <c r="G32" s="28" t="inlineStr">
        <is>
          <t>TODO</t>
        </is>
      </c>
      <c r="H32" s="17" t="inlineStr"/>
      <c r="I32" s="17" t="inlineStr"/>
    </row>
    <row r="33">
      <c r="A33" s="21" t="inlineStr">
        <is>
          <t>E</t>
        </is>
      </c>
      <c r="B33" s="21" t="n">
        <v>6</v>
      </c>
      <c r="C33" s="25" t="inlineStr">
        <is>
          <t>Dashboard</t>
        </is>
      </c>
      <c r="D33" s="25" t="inlineStr">
        <is>
          <t>Switch to Dashboard tab.</t>
        </is>
      </c>
      <c r="E33" s="25" t="inlineStr">
        <is>
          <t>Avg Utilisation KPI matches Machines tab · Total FTE KPI matches Machines tab FTE totals · Utilisation chart reflects all edits made so far</t>
        </is>
      </c>
      <c r="F33" s="17" t="inlineStr"/>
      <c r="G33" s="28" t="inlineStr">
        <is>
          <t>TODO</t>
        </is>
      </c>
      <c r="H33" s="17" t="inlineStr"/>
      <c r="I33" s="17" t="inlineStr"/>
    </row>
    <row r="34">
      <c r="A34" s="21" t="inlineStr">
        <is>
          <t>E</t>
        </is>
      </c>
      <c r="B34" s="21" t="n">
        <v>7</v>
      </c>
      <c r="C34" s="25" t="inlineStr">
        <is>
          <t>Machines</t>
        </is>
      </c>
      <c r="D34" s="25" t="inlineStr">
        <is>
          <t>Edit availability for a 3rd machine: set to 20 %.</t>
        </is>
      </c>
      <c r="E34" s="25" t="inlineStr">
        <is>
          <t>Util for that machine spikes · FTE for that group increases · If util &gt; 95 %: heatmap cell red, chart line above red threshold</t>
        </is>
      </c>
      <c r="F34" s="17" t="inlineStr"/>
      <c r="G34" s="28" t="inlineStr">
        <is>
          <t>TODO</t>
        </is>
      </c>
      <c r="H34" s="17" t="inlineStr"/>
      <c r="I34" s="17" t="inlineStr"/>
    </row>
    <row r="35">
      <c r="A35" s="21" t="inlineStr">
        <is>
          <t>E</t>
        </is>
      </c>
      <c r="B35" s="21" t="n">
        <v>8</v>
      </c>
      <c r="C35" s="25" t="inlineStr">
        <is>
          <t>Machines</t>
        </is>
      </c>
      <c r="D35" s="25" t="inlineStr">
        <is>
          <t>Click Undo twice (reverts avail edit, then OEE edit from step 3).</t>
        </is>
      </c>
      <c r="E35" s="25" t="inlineStr">
        <is>
          <t>First undo: 3rd machine avail restored (per-period values) · Second undo: 1st machine OEE restored · All derived values (util, req_h, FTE) recalculate · Dashboard still matches</t>
        </is>
      </c>
      <c r="F35" s="17" t="inlineStr"/>
      <c r="G35" s="28" t="inlineStr">
        <is>
          <t>TODO</t>
        </is>
      </c>
      <c r="H35" s="17" t="inlineStr"/>
      <c r="I35" s="17" t="inlineStr"/>
    </row>
    <row r="36">
      <c r="A36" s="21" t="inlineStr">
        <is>
          <t>E</t>
        </is>
      </c>
      <c r="B36" s="21" t="n">
        <v>9</v>
      </c>
      <c r="C36" s="25" t="inlineStr">
        <is>
          <t>Planning</t>
        </is>
      </c>
      <c r="D36" s="25" t="inlineStr">
        <is>
          <t>Click Volume Undo (reverts MTS edit from step 4).</t>
        </is>
      </c>
      <c r="E36" s="25" t="inlineStr">
        <is>
          <t>L05 P2 back to 0 (or original target) · L06 P2 drops back · Machines: 2nd machine P2 util back to step-2 level</t>
        </is>
      </c>
      <c r="F36" s="17" t="inlineStr"/>
      <c r="G36" s="28" t="inlineStr">
        <is>
          <t>TODO</t>
        </is>
      </c>
      <c r="H36" s="17" t="inlineStr"/>
      <c r="I36" s="17" t="inlineStr"/>
    </row>
    <row r="37">
      <c r="A37" s="21" t="inlineStr">
        <is>
          <t>E</t>
        </is>
      </c>
      <c r="B37" s="21" t="n">
        <v>10</v>
      </c>
      <c r="C37" s="25" t="inlineStr">
        <is>
          <t>Machines</t>
        </is>
      </c>
      <c r="D37" s="25" t="inlineStr">
        <is>
          <t>Click Reset, then verify everything.</t>
        </is>
      </c>
      <c r="E37" s="25" t="inlineStr">
        <is>
          <t>All OEE/availability back to original · Undo button disabled · Planning: demand edit from step 1 STILL present · Machine for step-1 material still shows elevated util · All other machines at original utilisation · FTE totals recalculated</t>
        </is>
      </c>
      <c r="F37" s="17" t="inlineStr"/>
      <c r="G37" s="28" t="inlineStr">
        <is>
          <t>TODO</t>
        </is>
      </c>
      <c r="H37" s="17" t="inlineStr"/>
      <c r="I37" s="17" t="inlineStr"/>
    </row>
    <row r="38">
      <c r="A38" s="22" t="inlineStr">
        <is>
          <t>TEST F — Solo — multi-session isolation &amp; state recovery after server restart (two separate sessions)</t>
        </is>
      </c>
      <c r="B38" s="23" t="n"/>
      <c r="C38" s="23" t="n"/>
      <c r="D38" s="23" t="n"/>
      <c r="E38" s="23" t="n"/>
      <c r="F38" s="23" t="n"/>
      <c r="G38" s="23" t="n"/>
      <c r="H38" s="23" t="n"/>
      <c r="I38" s="24" t="n"/>
    </row>
    <row r="39">
      <c r="A39" s="21" t="inlineStr">
        <is>
          <t>F</t>
        </is>
      </c>
      <c r="B39" s="21" t="n">
        <v>1</v>
      </c>
      <c r="C39" s="25" t="inlineStr">
        <is>
          <t>—</t>
        </is>
      </c>
      <c r="D39" s="25" t="inlineStr">
        <is>
          <t>Start the application. Create Session 1 (upload MS_RECONC, run Calculate). Note the session ID.</t>
        </is>
      </c>
      <c r="E39" s="25" t="inlineStr">
        <is>
          <t>Session 1 visible in the session list</t>
        </is>
      </c>
      <c r="F39" s="17" t="inlineStr"/>
      <c r="G39" s="28" t="inlineStr">
        <is>
          <t>TODO</t>
        </is>
      </c>
      <c r="H39" s="17" t="inlineStr"/>
      <c r="I39" s="17" t="inlineStr"/>
    </row>
    <row r="40">
      <c r="A40" s="21" t="inlineStr">
        <is>
          <t>F</t>
        </is>
      </c>
      <c r="B40" s="21" t="n">
        <v>2</v>
      </c>
      <c r="C40" s="25" t="inlineStr">
        <is>
          <t>Planning (S1)</t>
        </is>
      </c>
      <c r="D40" s="25" t="inlineStr">
        <is>
          <t>In Session 1: increase the production plan of material 600004440 P1 by +500.</t>
        </is>
      </c>
      <c r="E40" s="25" t="inlineStr">
        <is>
          <t>L06 recalculated in Session 1</t>
        </is>
      </c>
      <c r="F40" s="17" t="inlineStr"/>
      <c r="G40" s="28" t="inlineStr">
        <is>
          <t>TODO</t>
        </is>
      </c>
      <c r="H40" s="17" t="inlineStr"/>
      <c r="I40" s="17" t="inlineStr"/>
    </row>
    <row r="41">
      <c r="A41" s="21" t="inlineStr">
        <is>
          <t>F</t>
        </is>
      </c>
      <c r="B41" s="21" t="n">
        <v>3</v>
      </c>
      <c r="C41" s="25" t="inlineStr">
        <is>
          <t>Machines (S1)</t>
        </is>
      </c>
      <c r="D41" s="25" t="inlineStr">
        <is>
          <t>In Session 1: lower the OEE of PBA11 to 55 %.</t>
        </is>
      </c>
      <c r="E41" s="25" t="inlineStr">
        <is>
          <t>Utilization PBA11 increased in Session 1</t>
        </is>
      </c>
      <c r="F41" s="17" t="inlineStr"/>
      <c r="G41" s="28" t="inlineStr">
        <is>
          <t>TODO</t>
        </is>
      </c>
      <c r="H41" s="17" t="inlineStr"/>
      <c r="I41" s="17" t="inlineStr"/>
    </row>
    <row r="42">
      <c r="A42" s="21" t="inlineStr">
        <is>
          <t>F</t>
        </is>
      </c>
      <c r="B42" s="21" t="n">
        <v>4</v>
      </c>
      <c r="C42" s="25" t="inlineStr">
        <is>
          <t>—</t>
        </is>
      </c>
      <c r="D42" s="25" t="inlineStr">
        <is>
          <t>Create Session 2 via 'save as instance'. Switch to Session 2.</t>
        </is>
      </c>
      <c r="E42" s="25" t="inlineStr">
        <is>
          <t>Session 2 loaded without error · all edits present</t>
        </is>
      </c>
      <c r="F42" s="17" t="inlineStr"/>
      <c r="G42" s="28" t="inlineStr">
        <is>
          <t>TODO</t>
        </is>
      </c>
      <c r="H42" s="17" t="inlineStr"/>
      <c r="I42" s="17" t="inlineStr"/>
    </row>
    <row r="43">
      <c r="A43" s="21" t="inlineStr">
        <is>
          <t>F</t>
        </is>
      </c>
      <c r="B43" s="21" t="n">
        <v>5</v>
      </c>
      <c r="C43" s="25" t="inlineStr">
        <is>
          <t>Planning (S2)</t>
        </is>
      </c>
      <c r="D43" s="25" t="inlineStr">
        <is>
          <t>Check the values for material 600004440 P1 in Session 2.</t>
        </is>
      </c>
      <c r="E43" s="25" t="inlineStr">
        <is>
          <t>L01/L06 show the ORIGINAL values after a reset of a separate session · no spill-over from the separate session</t>
        </is>
      </c>
      <c r="F43" s="17" t="inlineStr"/>
      <c r="G43" s="28" t="inlineStr">
        <is>
          <t>TODO</t>
        </is>
      </c>
      <c r="H43" s="17" t="inlineStr"/>
      <c r="I43" s="17" t="inlineStr"/>
    </row>
    <row r="44">
      <c r="A44" s="21" t="inlineStr">
        <is>
          <t>F</t>
        </is>
      </c>
      <c r="B44" s="21" t="n">
        <v>6</v>
      </c>
      <c r="C44" s="25" t="inlineStr">
        <is>
          <t>Export</t>
        </is>
      </c>
      <c r="D44" s="25" t="inlineStr">
        <is>
          <t>Export all screenshots and Excels; check quality.</t>
        </is>
      </c>
      <c r="E44" s="25" t="inlineStr">
        <is>
          <t>OEE at the ADJUSTED value (not 55 % from Session 1) · no numeric differences with the Excel financial consolidation</t>
        </is>
      </c>
      <c r="F44" s="17" t="inlineStr"/>
      <c r="G44" s="28" t="inlineStr">
        <is>
          <t>TODO</t>
        </is>
      </c>
      <c r="H44" s="17" t="inlineStr"/>
      <c r="I44" s="17" t="inlineStr"/>
    </row>
    <row r="45">
      <c r="A45" s="21" t="inlineStr">
        <is>
          <t>F</t>
        </is>
      </c>
      <c r="B45" s="21" t="n">
        <v>7</v>
      </c>
      <c r="C45" s="25" t="inlineStr">
        <is>
          <t>Machines (S2)</t>
        </is>
      </c>
      <c r="D45" s="25" t="inlineStr">
        <is>
          <t>In Session 2: lower the OEE of PM06 to 60 % (different machine than Session 1).</t>
        </is>
      </c>
      <c r="E45" s="25" t="inlineStr">
        <is>
          <t>PM06 utilization increased in Session 2</t>
        </is>
      </c>
      <c r="F45" s="17" t="inlineStr"/>
      <c r="G45" s="28" t="inlineStr">
        <is>
          <t>TODO</t>
        </is>
      </c>
      <c r="H45" s="17" t="inlineStr"/>
      <c r="I45" s="17" t="inlineStr"/>
    </row>
    <row r="46">
      <c r="A46" s="21" t="inlineStr">
        <is>
          <t>F</t>
        </is>
      </c>
      <c r="B46" s="21" t="n">
        <v>8</v>
      </c>
      <c r="C46" s="25" t="inlineStr">
        <is>
          <t>—</t>
        </is>
      </c>
      <c r="D46" s="25" t="inlineStr">
        <is>
          <t>Switch back to Session 1.</t>
        </is>
      </c>
      <c r="E46" s="25" t="inlineStr">
        <is>
          <t>Session 1 active (header shows Session 1)</t>
        </is>
      </c>
      <c r="F46" s="17" t="inlineStr"/>
      <c r="G46" s="28" t="inlineStr">
        <is>
          <t>TODO</t>
        </is>
      </c>
      <c r="H46" s="17" t="inlineStr"/>
      <c r="I46" s="17" t="inlineStr"/>
    </row>
    <row r="47">
      <c r="A47" s="21" t="inlineStr">
        <is>
          <t>F</t>
        </is>
      </c>
      <c r="B47" s="21" t="n">
        <v>9</v>
      </c>
      <c r="C47" s="25" t="inlineStr">
        <is>
          <t>Machines (S1)</t>
        </is>
      </c>
      <c r="D47" s="25" t="inlineStr">
        <is>
          <t>Check PBA11 and PM06 in Session 1.</t>
        </is>
      </c>
      <c r="E47" s="25" t="inlineStr">
        <is>
          <t>PBA11 OEE still 55 % (persists) · PM06 OEE at the ORIGINAL value (edit was in Session 2)</t>
        </is>
      </c>
      <c r="F47" s="17" t="inlineStr"/>
      <c r="G47" s="28" t="inlineStr">
        <is>
          <t>TODO</t>
        </is>
      </c>
      <c r="H47" s="17" t="inlineStr"/>
      <c r="I47" s="17" t="inlineStr"/>
    </row>
    <row r="48">
      <c r="A48" s="21" t="inlineStr">
        <is>
          <t>F</t>
        </is>
      </c>
      <c r="B48" s="21" t="n">
        <v>10</v>
      </c>
      <c r="C48" s="25" t="inlineStr">
        <is>
          <t>Planning (S1)</t>
        </is>
      </c>
      <c r="D48" s="25" t="inlineStr">
        <is>
          <t>Check the demand forecast of 600004440 P1 in Session 1.</t>
        </is>
      </c>
      <c r="E48" s="25" t="inlineStr">
        <is>
          <t>L01 still shows +500 above original · L06 recalculated with combined edits (demand +500 AND OEE 55 %)</t>
        </is>
      </c>
      <c r="F48" s="17" t="inlineStr"/>
      <c r="G48" s="28" t="inlineStr">
        <is>
          <t>TODO</t>
        </is>
      </c>
      <c r="H48" s="17" t="inlineStr"/>
      <c r="I48" s="17" t="inlineStr"/>
    </row>
    <row r="49">
      <c r="A49" s="21" t="inlineStr">
        <is>
          <t>F</t>
        </is>
      </c>
      <c r="B49" s="21" t="n">
        <v>11</v>
      </c>
      <c r="C49" s="25" t="inlineStr">
        <is>
          <t>—</t>
        </is>
      </c>
      <c r="D49" s="25" t="inlineStr">
        <is>
          <t>STOP the server (Ctrl+C). Restart the server (python main.py). Open the application in the browser.</t>
        </is>
      </c>
      <c r="E49" s="25" t="inlineStr">
        <is>
          <t>Application starts without error · Session 1 AND Session 2 visible in the session list</t>
        </is>
      </c>
      <c r="F49" s="17" t="inlineStr"/>
      <c r="G49" s="28" t="inlineStr">
        <is>
          <t>TODO</t>
        </is>
      </c>
      <c r="H49" s="17" t="inlineStr"/>
      <c r="I49" s="17" t="inlineStr"/>
    </row>
    <row r="50">
      <c r="A50" s="21" t="inlineStr">
        <is>
          <t>F</t>
        </is>
      </c>
      <c r="B50" s="21" t="n">
        <v>12</v>
      </c>
      <c r="C50" s="25" t="inlineStr">
        <is>
          <t>Planning (S1)</t>
        </is>
      </c>
      <c r="D50" s="25" t="inlineStr">
        <is>
          <t>Switch to Session 1 after restart. Click Calculate if needed.</t>
        </is>
      </c>
      <c r="E50" s="25" t="inlineStr">
        <is>
          <t>Demand forecast 600004440 P1 still shows +500 · L06 recalculated correctly</t>
        </is>
      </c>
      <c r="F50" s="17" t="inlineStr"/>
      <c r="G50" s="28" t="inlineStr">
        <is>
          <t>TODO</t>
        </is>
      </c>
      <c r="H50" s="17" t="inlineStr"/>
      <c r="I50" s="17" t="inlineStr"/>
    </row>
    <row r="51">
      <c r="A51" s="21" t="inlineStr">
        <is>
          <t>F</t>
        </is>
      </c>
      <c r="B51" s="21" t="n">
        <v>13</v>
      </c>
      <c r="C51" s="25" t="inlineStr">
        <is>
          <t>Machines (S1)</t>
        </is>
      </c>
      <c r="D51" s="25" t="inlineStr">
        <is>
          <t>Check PBA11 OEE in Session 1 after restart.</t>
        </is>
      </c>
      <c r="E51" s="25" t="inlineStr">
        <is>
          <t>PBA11 OEE is 55 % (restored from sessions_store.json) · utilization correct accordingly</t>
        </is>
      </c>
      <c r="F51" s="17" t="inlineStr"/>
      <c r="G51" s="28" t="inlineStr">
        <is>
          <t>TODO</t>
        </is>
      </c>
      <c r="H51" s="17" t="inlineStr"/>
      <c r="I51" s="17" t="inlineStr"/>
    </row>
    <row r="52">
      <c r="A52" s="21" t="inlineStr">
        <is>
          <t>F</t>
        </is>
      </c>
      <c r="B52" s="21" t="n">
        <v>14</v>
      </c>
      <c r="C52" s="25" t="inlineStr">
        <is>
          <t>Machines (S2)</t>
        </is>
      </c>
      <c r="D52" s="25" t="inlineStr">
        <is>
          <t>Switch to Session 2 after restart.</t>
        </is>
      </c>
      <c r="E52" s="25" t="inlineStr">
        <is>
          <t>PM06 OEE is 60 % (restored) · PBA11 OEE is original value (no bleed from Session 1)</t>
        </is>
      </c>
      <c r="F52" s="17" t="inlineStr"/>
      <c r="G52" s="28" t="inlineStr">
        <is>
          <t>TODO</t>
        </is>
      </c>
      <c r="H52" s="17" t="inlineStr"/>
      <c r="I52" s="17" t="inlineStr"/>
    </row>
    <row r="53">
      <c r="A53" s="21" t="inlineStr">
        <is>
          <t>F</t>
        </is>
      </c>
      <c r="B53" s="21" t="n">
        <v>15</v>
      </c>
      <c r="C53" s="25" t="inlineStr">
        <is>
          <t>Machines (S1)</t>
        </is>
      </c>
      <c r="D53" s="25" t="inlineStr">
        <is>
          <t>Click Reset in Session 1. Check Session 2.</t>
        </is>
      </c>
      <c r="E53" s="25" t="inlineStr">
        <is>
          <t>Session 1: all OEE/availability back to original · Session 2: PM06 OEE STILL 60 % (reset is session-specific)</t>
        </is>
      </c>
      <c r="F53" s="17" t="inlineStr"/>
      <c r="G53" s="28" t="inlineStr">
        <is>
          <t>TODO</t>
        </is>
      </c>
      <c r="H53" s="17" t="inlineStr"/>
      <c r="I53" s="17" t="inlineStr"/>
    </row>
    <row r="54">
      <c r="A54" s="22" t="inlineStr">
        <is>
          <t>TEST G — Solo — value planning verification &amp; export integrity</t>
        </is>
      </c>
      <c r="B54" s="23" t="n"/>
      <c r="C54" s="23" t="n"/>
      <c r="D54" s="23" t="n"/>
      <c r="E54" s="23" t="n"/>
      <c r="F54" s="23" t="n"/>
      <c r="G54" s="23" t="n"/>
      <c r="H54" s="23" t="n"/>
      <c r="I54" s="24" t="n"/>
    </row>
    <row r="55">
      <c r="A55" s="21" t="inlineStr">
        <is>
          <t>G</t>
        </is>
      </c>
      <c r="B55" s="21" t="n">
        <v>1</v>
      </c>
      <c r="C55" s="25" t="inlineStr">
        <is>
          <t>Planning</t>
        </is>
      </c>
      <c r="D55" s="25" t="inlineStr">
        <is>
          <t>Note the CURRENT values (baseline): L01, L06, revenue and ROCE/cost total for material 600004440, periods P1–P3.</t>
        </is>
      </c>
      <c r="E55" s="25" t="inlineStr">
        <is>
          <t>Baseline noted</t>
        </is>
      </c>
      <c r="F55" s="17" t="inlineStr"/>
      <c r="G55" s="28" t="inlineStr">
        <is>
          <t>TODO</t>
        </is>
      </c>
      <c r="H55" s="17" t="inlineStr"/>
      <c r="I55" s="17" t="inlineStr"/>
    </row>
    <row r="56">
      <c r="A56" s="21" t="inlineStr">
        <is>
          <t>G</t>
        </is>
      </c>
      <c r="B56" s="21" t="n">
        <v>2</v>
      </c>
      <c r="C56" s="25" t="inlineStr">
        <is>
          <t>Planning</t>
        </is>
      </c>
      <c r="D56" s="25" t="inlineStr">
        <is>
          <t>Edit price (value aux) for material 600004440: set to 2× the current value.</t>
        </is>
      </c>
      <c r="E56" s="25" t="inlineStr">
        <is>
          <t>Revenue row doubled for all periods · L06 unchanged · L01 unchanged</t>
        </is>
      </c>
      <c r="F56" s="17" t="inlineStr"/>
      <c r="G56" s="28" t="inlineStr">
        <is>
          <t>TODO</t>
        </is>
      </c>
      <c r="H56" s="17" t="inlineStr"/>
      <c r="I56" s="17" t="inlineStr"/>
    </row>
    <row r="57">
      <c r="A57" s="21" t="inlineStr">
        <is>
          <t>G</t>
        </is>
      </c>
      <c r="B57" s="21" t="n">
        <v>3</v>
      </c>
      <c r="C57" s="25" t="inlineStr">
        <is>
          <t>Planning</t>
        </is>
      </c>
      <c r="D57" s="25" t="inlineStr">
        <is>
          <t>Increase the demand forecast of the same material P2 by +1000.</t>
        </is>
      </c>
      <c r="E57" s="25" t="inlineStr">
        <is>
          <t>L01 P2 increased · L06 P2 recalculated · revenue P2 = new volume × doubled price (combined effect)</t>
        </is>
      </c>
      <c r="F57" s="17" t="inlineStr"/>
      <c r="G57" s="28" t="inlineStr">
        <is>
          <t>TODO</t>
        </is>
      </c>
      <c r="H57" s="17" t="inlineStr"/>
      <c r="I57" s="17" t="inlineStr"/>
    </row>
    <row r="58">
      <c r="A58" s="21" t="inlineStr">
        <is>
          <t>G</t>
        </is>
      </c>
      <c r="B58" s="21" t="n">
        <v>4</v>
      </c>
      <c r="C58" s="25" t="inlineStr">
        <is>
          <t>Dashboard</t>
        </is>
      </c>
      <c r="D58" s="25" t="inlineStr">
        <is>
          <t>Go to Dashboard.</t>
        </is>
      </c>
      <c r="E58" s="25" t="inlineStr">
        <is>
          <t>Total revenue KPI increased (price × volume both changed) · Avg Utilisation KPI unchanged (price has no effect on capacity) · ROCE indicator reflected</t>
        </is>
      </c>
      <c r="F58" s="17" t="inlineStr"/>
      <c r="G58" s="28" t="inlineStr">
        <is>
          <t>TODO</t>
        </is>
      </c>
      <c r="H58" s="17" t="inlineStr"/>
      <c r="I58" s="17" t="inlineStr"/>
    </row>
    <row r="59">
      <c r="A59" s="21" t="inlineStr">
        <is>
          <t>G</t>
        </is>
      </c>
      <c r="B59" s="21" t="n">
        <v>5</v>
      </c>
      <c r="C59" s="25" t="inlineStr">
        <is>
          <t>Planning</t>
        </is>
      </c>
      <c r="D59" s="25" t="inlineStr">
        <is>
          <t>Undo the demand change (Volume Undo).</t>
        </is>
      </c>
      <c r="E59" s="25" t="inlineStr">
        <is>
          <t>L01 P2 back to original · revenue P2 = original volume × doubled price · L06 P2 back to baseline</t>
        </is>
      </c>
      <c r="F59" s="17" t="inlineStr"/>
      <c r="G59" s="28" t="inlineStr">
        <is>
          <t>TODO</t>
        </is>
      </c>
      <c r="H59" s="17" t="inlineStr"/>
      <c r="I59" s="17" t="inlineStr"/>
    </row>
    <row r="60">
      <c r="A60" s="21" t="inlineStr">
        <is>
          <t>G</t>
        </is>
      </c>
      <c r="B60" s="21" t="n">
        <v>6</v>
      </c>
      <c r="C60" s="25" t="inlineStr">
        <is>
          <t>Planning</t>
        </is>
      </c>
      <c r="D60" s="25" t="inlineStr">
        <is>
          <t>Check L12 (FTE / cost total) after the price change only.</t>
        </is>
      </c>
      <c r="E60" s="25" t="inlineStr">
        <is>
          <t>L12 UNCHANGED (price does not affect capacity/FTE) · Machines tab: all utilizations unchanged</t>
        </is>
      </c>
      <c r="F60" s="17" t="inlineStr"/>
      <c r="G60" s="28" t="inlineStr">
        <is>
          <t>TODO</t>
        </is>
      </c>
      <c r="H60" s="17" t="inlineStr"/>
      <c r="I60" s="17" t="inlineStr"/>
    </row>
    <row r="61">
      <c r="A61" s="21" t="inlineStr">
        <is>
          <t>G</t>
        </is>
      </c>
      <c r="B61" s="21" t="n">
        <v>7</v>
      </c>
      <c r="C61" s="25" t="inlineStr">
        <is>
          <t>—</t>
        </is>
      </c>
      <c r="D61" s="25" t="inlineStr">
        <is>
          <t>Export the planning (click Export, download the Excel).</t>
        </is>
      </c>
      <c r="E61" s="25" t="inlineStr">
        <is>
          <t>Export file downloads without error · file name contains the planning month</t>
        </is>
      </c>
      <c r="F61" s="17" t="inlineStr"/>
      <c r="G61" s="28" t="inlineStr">
        <is>
          <t>TODO</t>
        </is>
      </c>
      <c r="H61" s="17" t="inlineStr"/>
      <c r="I61" s="17" t="inlineStr"/>
    </row>
    <row r="62">
      <c r="A62" s="21" t="inlineStr">
        <is>
          <t>G</t>
        </is>
      </c>
      <c r="B62" s="21" t="n">
        <v>8</v>
      </c>
      <c r="C62" s="25" t="inlineStr">
        <is>
          <t>Excel</t>
        </is>
      </c>
      <c r="D62" s="25" t="inlineStr">
        <is>
          <t>Open the exported file; go to the revenue/value rows.</t>
        </is>
      </c>
      <c r="E62" s="25" t="inlineStr">
        <is>
          <t>Revenue for 600004440 in Excel = UI values from step 2 · L01 in Excel = original baseline (undo was done) · L06 in Excel = baseline · no empty cells or NaN in the value lines</t>
        </is>
      </c>
      <c r="F62" s="17" t="inlineStr"/>
      <c r="G62" s="28" t="inlineStr">
        <is>
          <t>TODO</t>
        </is>
      </c>
      <c r="H62" s="17" t="inlineStr"/>
      <c r="I62" s="17" t="inlineStr"/>
    </row>
    <row r="63">
      <c r="A63" s="21" t="inlineStr">
        <is>
          <t>G</t>
        </is>
      </c>
      <c r="B63" s="21" t="n">
        <v>9</v>
      </c>
      <c r="C63" s="25" t="inlineStr">
        <is>
          <t>Excel</t>
        </is>
      </c>
      <c r="D63" s="25" t="inlineStr">
        <is>
          <t>Check the capacity rows in the export (req hours, utilization, FTE).</t>
        </is>
      </c>
      <c r="E63" s="25" t="inlineStr">
        <is>
          <t>Req hours in Excel match the Machines tab · L12 FTE totals in Excel = Machines tab FTE column · all periods present</t>
        </is>
      </c>
      <c r="F63" s="17" t="inlineStr"/>
      <c r="G63" s="28" t="inlineStr">
        <is>
          <t>TODO</t>
        </is>
      </c>
      <c r="H63" s="17" t="inlineStr"/>
      <c r="I63" s="17" t="inlineStr"/>
    </row>
    <row r="64">
      <c r="A64" s="21" t="inlineStr">
        <is>
          <t>G</t>
        </is>
      </c>
      <c r="B64" s="21" t="n">
        <v>10</v>
      </c>
      <c r="C64" s="25" t="inlineStr">
        <is>
          <t>Planning</t>
        </is>
      </c>
      <c r="D64" s="25" t="inlineStr">
        <is>
          <t>Reset the price to original (or Undo). Export again.</t>
        </is>
      </c>
      <c r="E64" s="25" t="inlineStr">
        <is>
          <t>Second export: revenue back to original values · two exports side by side: only difference is the revenue row (all other rows identical) · UI and Excel in sync</t>
        </is>
      </c>
      <c r="F64" s="17" t="inlineStr"/>
      <c r="G64" s="28" t="inlineStr">
        <is>
          <t>TODO</t>
        </is>
      </c>
      <c r="H64" s="17" t="inlineStr"/>
      <c r="I64" s="17" t="inlineStr"/>
    </row>
    <row r="65">
      <c r="A65" s="22" t="inlineStr">
        <is>
          <t>TEST H — Solo — editable lines: cascade, reset, restart and isolation</t>
        </is>
      </c>
      <c r="B65" s="23" t="n"/>
      <c r="C65" s="23" t="n"/>
      <c r="D65" s="23" t="n"/>
      <c r="E65" s="23" t="n"/>
      <c r="F65" s="23" t="n"/>
      <c r="G65" s="23" t="n"/>
      <c r="H65" s="23" t="n"/>
      <c r="I65" s="24" t="n"/>
    </row>
    <row r="66">
      <c r="A66" s="21" t="inlineStr">
        <is>
          <t>H</t>
        </is>
      </c>
      <c r="B66" s="21" t="n">
        <v>1</v>
      </c>
      <c r="C66" s="25" t="inlineStr">
        <is>
          <t>—</t>
        </is>
      </c>
      <c r="D66" s="25" t="inlineStr">
        <is>
          <t>Start the application. Create Session H1, upload the fixture, run Calculate. Note baseline values for L4 (600003806 starting stock + 2025-12 inventory), L7/L9/L10/L11/L12 for ZZZ_PACKGROUP01 / PBA11.</t>
        </is>
      </c>
      <c r="E66" s="25" t="inlineStr">
        <is>
          <t>Session loaded · baseline noted · no console errors</t>
        </is>
      </c>
      <c r="F66" s="17" t="inlineStr"/>
      <c r="G66" s="28" t="inlineStr">
        <is>
          <t>TODO</t>
        </is>
      </c>
      <c r="H66" s="17" t="inlineStr"/>
      <c r="I66" s="17" t="inlineStr"/>
    </row>
    <row r="67">
      <c r="A67" s="21" t="inlineStr">
        <is>
          <t>H</t>
        </is>
      </c>
      <c r="B67" s="21" t="n">
        <v>2</v>
      </c>
      <c r="C67" s="25" t="inlineStr">
        <is>
          <t>Planning</t>
        </is>
      </c>
      <c r="D67" s="25" t="inlineStr">
        <is>
          <t>Edit L4: set starting stock of 600003806 to 130.0 (was 30.0).</t>
        </is>
      </c>
      <c r="E67" s="25" t="inlineStr">
        <is>
          <t>L4 starting stock = 130.0 · L4 inventory 2025-12 rises by +100 · L7/L10/L12 unchanged</t>
        </is>
      </c>
      <c r="F67" s="17" t="inlineStr"/>
      <c r="G67" s="28" t="inlineStr">
        <is>
          <t>TODO</t>
        </is>
      </c>
      <c r="H67" s="17" t="inlineStr"/>
      <c r="I67" s="17" t="inlineStr"/>
    </row>
    <row r="68">
      <c r="A68" s="21" t="inlineStr">
        <is>
          <t>H</t>
        </is>
      </c>
      <c r="B68" s="21" t="n">
        <v>3</v>
      </c>
      <c r="C68" s="25" t="inlineStr">
        <is>
          <t>Planning</t>
        </is>
      </c>
      <c r="D68" s="25" t="inlineStr">
        <is>
          <t>Edit L7: set ZZZ_PACKGROUP01 capacity utilization 2025-12 to 700.0 (was 598.62).</t>
        </is>
      </c>
      <c r="E68" s="25" t="inlineStr">
        <is>
          <t>L7 = 700.0 · L10 PBA11 rises to ~28.14 % · L12 rises to ~5.63 · L9 unchanged</t>
        </is>
      </c>
      <c r="F68" s="17" t="inlineStr"/>
      <c r="G68" s="28" t="inlineStr">
        <is>
          <t>TODO</t>
        </is>
      </c>
      <c r="H68" s="17" t="inlineStr"/>
      <c r="I68" s="17" t="inlineStr"/>
    </row>
    <row r="69">
      <c r="A69" s="21" t="inlineStr">
        <is>
          <t>H</t>
        </is>
      </c>
      <c r="B69" s="21" t="n">
        <v>4</v>
      </c>
      <c r="C69" s="25" t="inlineStr">
        <is>
          <t>Planning</t>
        </is>
      </c>
      <c r="D69" s="25" t="inlineStr">
        <is>
          <t>Edit L9: set PBA11 / Z_MACH01 available capacity 2025-12 to 0.75 (was 1.0).</t>
        </is>
      </c>
      <c r="E69" s="25" t="inlineStr">
        <is>
          <t>L9 = 0.75 · L10 PBA11 rises to ~37.52 % · L12 UNCHANGED (5.63)</t>
        </is>
      </c>
      <c r="F69" s="17" t="inlineStr"/>
      <c r="G69" s="28" t="inlineStr">
        <is>
          <t>TODO</t>
        </is>
      </c>
      <c r="H69" s="17" t="inlineStr"/>
      <c r="I69" s="17" t="inlineStr"/>
    </row>
    <row r="70">
      <c r="A70" s="21" t="inlineStr">
        <is>
          <t>H</t>
        </is>
      </c>
      <c r="B70" s="21" t="n">
        <v>5</v>
      </c>
      <c r="C70" s="25" t="inlineStr">
        <is>
          <t>Planning</t>
        </is>
      </c>
      <c r="D70" s="25" t="inlineStr">
        <is>
          <t>Edit L11: set ZZZ_PACKGROUP01 shift availability 2025-12 to 400.0 (was 520.0).</t>
        </is>
      </c>
      <c r="E70" s="25" t="inlineStr">
        <is>
          <t>L11 = 400.0 · L10 PBA11 rises to ~48.78 % · L12 UNCHANGED (5.63)</t>
        </is>
      </c>
      <c r="F70" s="17" t="inlineStr"/>
      <c r="G70" s="28" t="inlineStr">
        <is>
          <t>TODO</t>
        </is>
      </c>
      <c r="H70" s="17" t="inlineStr"/>
      <c r="I70" s="17" t="inlineStr"/>
    </row>
    <row r="71">
      <c r="A71" s="21" t="inlineStr">
        <is>
          <t>H</t>
        </is>
      </c>
      <c r="B71" s="21" t="n">
        <v>6</v>
      </c>
      <c r="C71" s="25" t="inlineStr">
        <is>
          <t>Planning</t>
        </is>
      </c>
      <c r="D71" s="25" t="inlineStr">
        <is>
          <t>Edit L12: set ZZZ_PACKGROUP01 FTE requirements 2025-12 to 6.5 (was 5.63).</t>
        </is>
      </c>
      <c r="E71" s="25" t="inlineStr">
        <is>
          <t>L12 = 6.5 · L7/L9/L10/L11 unchanged · Values Planning direct FTE cost rises</t>
        </is>
      </c>
      <c r="F71" s="17" t="inlineStr"/>
      <c r="G71" s="28" t="inlineStr">
        <is>
          <t>TODO</t>
        </is>
      </c>
      <c r="H71" s="17" t="inlineStr"/>
      <c r="I71" s="17" t="inlineStr"/>
    </row>
    <row r="72">
      <c r="A72" s="21" t="inlineStr">
        <is>
          <t>H</t>
        </is>
      </c>
      <c r="B72" s="21" t="n">
        <v>7</v>
      </c>
      <c r="C72" s="25" t="inlineStr">
        <is>
          <t>Machines</t>
        </is>
      </c>
      <c r="D72" s="25" t="inlineStr">
        <is>
          <t>Open Machines tab, check heatmap and charts for PBA11.</t>
        </is>
      </c>
      <c r="E72" s="25" t="inlineStr">
        <is>
          <t>Utilization curve PBA11 peaks in 2025-12 · FTE chart ZZZ_PACKGROUP01 shows 6.5 in 2025-12 · no empty canvas</t>
        </is>
      </c>
      <c r="F72" s="17" t="inlineStr"/>
      <c r="G72" s="28" t="inlineStr">
        <is>
          <t>TODO</t>
        </is>
      </c>
      <c r="H72" s="17" t="inlineStr"/>
      <c r="I72" s="17" t="inlineStr"/>
    </row>
    <row r="73">
      <c r="A73" s="21" t="inlineStr">
        <is>
          <t>H</t>
        </is>
      </c>
      <c r="B73" s="21" t="n">
        <v>8</v>
      </c>
      <c r="C73" s="25" t="inlineStr">
        <is>
          <t>Values Planning</t>
        </is>
      </c>
      <c r="D73" s="25" t="inlineStr">
        <is>
          <t>Check L12 direct FTE cost 2025-12.</t>
        </is>
      </c>
      <c r="E73" s="25" t="inlineStr">
        <is>
          <t>Direct FTE cost ≈ 41,962.61 · Consolidation FTE cost ≈ 202,790.61 · other periods unchanged</t>
        </is>
      </c>
      <c r="F73" s="17" t="inlineStr"/>
      <c r="G73" s="28" t="inlineStr">
        <is>
          <t>TODO</t>
        </is>
      </c>
      <c r="H73" s="17" t="inlineStr"/>
      <c r="I73" s="17" t="inlineStr"/>
    </row>
    <row r="74">
      <c r="A74" s="21" t="inlineStr">
        <is>
          <t>H</t>
        </is>
      </c>
      <c r="B74" s="21" t="n">
        <v>9</v>
      </c>
      <c r="C74" s="25" t="inlineStr">
        <is>
          <t>Dashboard</t>
        </is>
      </c>
      <c r="D74" s="25" t="inlineStr">
        <is>
          <t>Go to Dashboard.</t>
        </is>
      </c>
      <c r="E74" s="25" t="inlineStr">
        <is>
          <t>FTE KPI up · utilisation KPI up · no NaN or '--' · charts show current values</t>
        </is>
      </c>
      <c r="F74" s="17" t="inlineStr"/>
      <c r="G74" s="28" t="inlineStr">
        <is>
          <t>TODO</t>
        </is>
      </c>
      <c r="H74" s="17" t="inlineStr"/>
      <c r="I74" s="17" t="inlineStr"/>
    </row>
    <row r="75">
      <c r="A75" s="21" t="inlineStr">
        <is>
          <t>H</t>
        </is>
      </c>
      <c r="B75" s="21" t="n">
        <v>10</v>
      </c>
      <c r="C75" s="25" t="inlineStr">
        <is>
          <t>Planning</t>
        </is>
      </c>
      <c r="D75" s="25" t="inlineStr">
        <is>
          <t>Click Reset in Session H1.</t>
        </is>
      </c>
      <c r="E75" s="25" t="inlineStr">
        <is>
          <t>All five edits gone · baseline values from step 1 are back · pending edits panel empty</t>
        </is>
      </c>
      <c r="F75" s="17" t="inlineStr"/>
      <c r="G75" s="28" t="inlineStr">
        <is>
          <t>TODO</t>
        </is>
      </c>
      <c r="H75" s="17" t="inlineStr"/>
      <c r="I75" s="17" t="inlineStr"/>
    </row>
    <row r="76">
      <c r="A76" s="21" t="inlineStr">
        <is>
          <t>H</t>
        </is>
      </c>
      <c r="B76" s="21" t="n">
        <v>11</v>
      </c>
      <c r="C76" s="25" t="inlineStr">
        <is>
          <t>Planning</t>
        </is>
      </c>
      <c r="D76" s="25" t="inlineStr">
        <is>
          <t>Re-enter the same five edits (steps 2–6, same order).</t>
        </is>
      </c>
      <c r="E76" s="25" t="inlineStr">
        <is>
          <t>End values identical to step 6 · replay order makes no difference</t>
        </is>
      </c>
      <c r="F76" s="17" t="inlineStr"/>
      <c r="G76" s="28" t="inlineStr">
        <is>
          <t>TODO</t>
        </is>
      </c>
      <c r="H76" s="17" t="inlineStr"/>
      <c r="I76" s="17" t="inlineStr"/>
    </row>
    <row r="77">
      <c r="A77" s="21" t="inlineStr">
        <is>
          <t>H</t>
        </is>
      </c>
      <c r="B77" s="21" t="n">
        <v>12</v>
      </c>
      <c r="C77" s="25" t="inlineStr">
        <is>
          <t>—</t>
        </is>
      </c>
      <c r="D77" s="25" t="inlineStr">
        <is>
          <t>Create Session H2 via 'Save as new instance' from H1.</t>
        </is>
      </c>
      <c r="E77" s="25" t="inlineStr">
        <is>
          <t>H2 loaded · all five edits visible in H2 · H2 shows identical L4/L7/L9/L11/L12 as H1</t>
        </is>
      </c>
      <c r="F77" s="17" t="inlineStr"/>
      <c r="G77" s="28" t="inlineStr">
        <is>
          <t>TODO</t>
        </is>
      </c>
      <c r="H77" s="17" t="inlineStr"/>
      <c r="I77" s="17" t="inlineStr"/>
    </row>
    <row r="78">
      <c r="A78" s="21" t="inlineStr">
        <is>
          <t>H</t>
        </is>
      </c>
      <c r="B78" s="21" t="n">
        <v>13</v>
      </c>
      <c r="C78" s="25" t="inlineStr">
        <is>
          <t>Planning (H2)</t>
        </is>
      </c>
      <c r="D78" s="25" t="inlineStr">
        <is>
          <t>In H2: set L12 ZZZ_PACKGROUP01 2025-12 to 8.0. Switch to H1.</t>
        </is>
      </c>
      <c r="E78" s="25" t="inlineStr">
        <is>
          <t>H1 shows L12 = 6.5 (no bleed from H2) · H1 Values cost ≈ 41,962.61 (not the H2 value)</t>
        </is>
      </c>
      <c r="F78" s="17" t="inlineStr"/>
      <c r="G78" s="28" t="inlineStr">
        <is>
          <t>TODO</t>
        </is>
      </c>
      <c r="H78" s="17" t="inlineStr"/>
      <c r="I78" s="17" t="inlineStr"/>
    </row>
    <row r="79">
      <c r="A79" s="21" t="inlineStr">
        <is>
          <t>H</t>
        </is>
      </c>
      <c r="B79" s="21" t="n">
        <v>14</v>
      </c>
      <c r="C79" s="25" t="inlineStr">
        <is>
          <t>—</t>
        </is>
      </c>
      <c r="D79" s="25" t="inlineStr">
        <is>
          <t>STOP the server (Ctrl+C). Restart with python main.py. Open the browser.</t>
        </is>
      </c>
      <c r="E79" s="25" t="inlineStr">
        <is>
          <t>Both sessions (H1 + H2) visible · no exception at start · sessions_store.json present in the app data dir</t>
        </is>
      </c>
      <c r="F79" s="17" t="inlineStr"/>
      <c r="G79" s="28" t="inlineStr">
        <is>
          <t>TODO</t>
        </is>
      </c>
      <c r="H79" s="17" t="inlineStr"/>
      <c r="I79" s="17" t="inlineStr"/>
    </row>
    <row r="80">
      <c r="A80" s="21" t="inlineStr">
        <is>
          <t>H</t>
        </is>
      </c>
      <c r="B80" s="21" t="n">
        <v>15</v>
      </c>
      <c r="C80" s="25" t="inlineStr">
        <is>
          <t>Planning (H1)</t>
        </is>
      </c>
      <c r="D80" s="25" t="inlineStr">
        <is>
          <t>Switch to H1 after restart. Click Calculate if needed.</t>
        </is>
      </c>
      <c r="E80" s="25" t="inlineStr">
        <is>
          <t>L4 starting stock = 130.0 · L7 = 700.0 · L9 = 0.75 · L11 = 400.0 · L12 = 6.5 · pending edits panel shows all five entries</t>
        </is>
      </c>
      <c r="F80" s="17" t="inlineStr"/>
      <c r="G80" s="28" t="inlineStr">
        <is>
          <t>TODO</t>
        </is>
      </c>
      <c r="H80" s="17" t="inlineStr"/>
      <c r="I80" s="17" t="inlineStr"/>
    </row>
    <row r="81">
      <c r="A81" s="21" t="inlineStr">
        <is>
          <t>H</t>
        </is>
      </c>
      <c r="B81" s="21" t="n">
        <v>16</v>
      </c>
      <c r="C81" s="25" t="inlineStr">
        <is>
          <t>Planning (H2)</t>
        </is>
      </c>
      <c r="D81" s="25" t="inlineStr">
        <is>
          <t>Switch to H2 after restart.</t>
        </is>
      </c>
      <c r="E81" s="25" t="inlineStr">
        <is>
          <t>L12 = 8.0 (H2-specific) · other four edits identical to H1 · Values Planning H2 ≠ H1</t>
        </is>
      </c>
      <c r="F81" s="17" t="inlineStr"/>
      <c r="G81" s="28" t="inlineStr">
        <is>
          <t>TODO</t>
        </is>
      </c>
      <c r="H81" s="17" t="inlineStr"/>
      <c r="I81" s="17" t="inlineStr"/>
    </row>
    <row r="82">
      <c r="A82" s="21" t="inlineStr">
        <is>
          <t>H</t>
        </is>
      </c>
      <c r="B82" s="21" t="n">
        <v>17</v>
      </c>
      <c r="C82" s="25" t="inlineStr">
        <is>
          <t>Planning (H1)</t>
        </is>
      </c>
      <c r="D82" s="25" t="inlineStr">
        <is>
          <t>In H1: edit L1 demand for 600003806 2025-12 by +200. Verify that L4 AND L7/L8 react.</t>
        </is>
      </c>
      <c r="E82" s="25" t="inlineStr">
        <is>
          <t>L1 = +200 · L4 inventory drops · L8 req hours rise · L10/L12 cascade along</t>
        </is>
      </c>
      <c r="F82" s="17" t="inlineStr"/>
      <c r="G82" s="28" t="inlineStr">
        <is>
          <t>TODO</t>
        </is>
      </c>
      <c r="H82" s="17" t="inlineStr"/>
      <c r="I82" s="17" t="inlineStr"/>
    </row>
    <row r="83">
      <c r="A83" s="21" t="inlineStr">
        <is>
          <t>H</t>
        </is>
      </c>
      <c r="B83" s="21" t="n">
        <v>18</v>
      </c>
      <c r="C83" s="25" t="inlineStr">
        <is>
          <t>Planning (H1)</t>
        </is>
      </c>
      <c r="D83" s="25" t="inlineStr">
        <is>
          <t>Click Undo on the L1 edit (volume undo).</t>
        </is>
      </c>
      <c r="E83" s="25" t="inlineStr">
        <is>
          <t>L1 back to baseline · L4 inventory jumped back (130 + original value) · other four edits REMAIN active</t>
        </is>
      </c>
      <c r="F83" s="17" t="inlineStr"/>
      <c r="G83" s="28" t="inlineStr">
        <is>
          <t>TODO</t>
        </is>
      </c>
      <c r="H83" s="17" t="inlineStr"/>
      <c r="I83" s="17" t="inlineStr"/>
    </row>
    <row r="84">
      <c r="A84" s="21" t="inlineStr">
        <is>
          <t>H</t>
        </is>
      </c>
      <c r="B84" s="21" t="n">
        <v>19</v>
      </c>
      <c r="C84" s="25" t="inlineStr">
        <is>
          <t>Planning (H1)</t>
        </is>
      </c>
      <c r="D84" s="25" t="inlineStr">
        <is>
          <t>Click Reset in H1. Switch to H2.</t>
        </is>
      </c>
      <c r="E84" s="25" t="inlineStr">
        <is>
          <t>H1 completely empty (no pending edits) · H2: L12 = 8.0 still present (reset is session-specific)</t>
        </is>
      </c>
      <c r="F84" s="17" t="inlineStr"/>
      <c r="G84" s="28" t="inlineStr">
        <is>
          <t>TODO</t>
        </is>
      </c>
      <c r="H84" s="17" t="inlineStr"/>
      <c r="I84" s="17" t="inlineStr"/>
    </row>
    <row r="85">
      <c r="A85" s="21" t="inlineStr">
        <is>
          <t>H</t>
        </is>
      </c>
      <c r="B85" s="21" t="n">
        <v>20</v>
      </c>
      <c r="C85" s="25" t="inlineStr">
        <is>
          <t>—</t>
        </is>
      </c>
      <c r="D85" s="25" t="inlineStr">
        <is>
          <t>Final check: compare the L10/L12 cascade matrix.</t>
        </is>
      </c>
      <c r="E85" s="25" t="inlineStr">
        <is>
          <t>L7 changes → L10 AND L12 react · L9 changes → only L10 reacts · L11 changes → only L10 reacts · L12 leaf edit → only Values Planning reacts · L4 starting stock → only L4 inventory reacts</t>
        </is>
      </c>
      <c r="F85" s="17" t="inlineStr"/>
      <c r="G85" s="28" t="inlineStr">
        <is>
          <t>TODO</t>
        </is>
      </c>
      <c r="H85" s="17" t="inlineStr"/>
      <c r="I85" s="17" t="inlineStr"/>
    </row>
    <row r="86">
      <c r="A86" s="22" t="inlineStr">
        <is>
          <t>TEST I — Solo — charts and export integrity</t>
        </is>
      </c>
      <c r="B86" s="23" t="n"/>
      <c r="C86" s="23" t="n"/>
      <c r="D86" s="23" t="n"/>
      <c r="E86" s="23" t="n"/>
      <c r="F86" s="23" t="n"/>
      <c r="G86" s="23" t="n"/>
      <c r="H86" s="23" t="n"/>
      <c r="I86" s="24" t="n"/>
    </row>
    <row r="87">
      <c r="A87" s="21" t="inlineStr">
        <is>
          <t>I</t>
        </is>
      </c>
      <c r="B87" s="21" t="n">
        <v>1</v>
      </c>
      <c r="C87" s="25" t="inlineStr">
        <is>
          <t>—</t>
        </is>
      </c>
      <c r="D87" s="25" t="inlineStr">
        <is>
          <t>Start the application, use the same fixture as Test H. Run Calculate.</t>
        </is>
      </c>
      <c r="E87" s="25" t="inlineStr">
        <is>
          <t>Session loaded · Dashboard renders · no console errors</t>
        </is>
      </c>
      <c r="F87" s="17" t="inlineStr"/>
      <c r="G87" s="28" t="inlineStr">
        <is>
          <t>TODO</t>
        </is>
      </c>
      <c r="H87" s="17" t="inlineStr"/>
      <c r="I87" s="17" t="inlineStr"/>
    </row>
    <row r="88">
      <c r="A88" s="21" t="inlineStr">
        <is>
          <t>I</t>
        </is>
      </c>
      <c r="B88" s="21" t="n">
        <v>2</v>
      </c>
      <c r="C88" s="25" t="inlineStr">
        <is>
          <t>Dashboard</t>
        </is>
      </c>
      <c r="D88" s="25" t="inlineStr">
        <is>
          <t>Open the Inventory Quality chart.</t>
        </is>
      </c>
      <c r="E88" s="25" t="inlineStr">
        <is>
          <t>Bars drawn · understock bars (negative) BELOW the zero line (no Math.abs flip) · overstock bars ABOVE the zero line · legend shows both categories</t>
        </is>
      </c>
      <c r="F88" s="17" t="inlineStr"/>
      <c r="G88" s="28" t="inlineStr">
        <is>
          <t>TODO</t>
        </is>
      </c>
      <c r="H88" s="17" t="inlineStr"/>
      <c r="I88" s="17" t="inlineStr"/>
    </row>
    <row r="89">
      <c r="A89" s="21" t="inlineStr">
        <is>
          <t>I</t>
        </is>
      </c>
      <c r="B89" s="21" t="n">
        <v>3</v>
      </c>
      <c r="C89" s="25" t="inlineStr">
        <is>
          <t>Dashboard</t>
        </is>
      </c>
      <c r="D89" s="25" t="inlineStr">
        <is>
          <t>Hover over an understock month.</t>
        </is>
      </c>
      <c r="E89" s="25" t="inlineStr">
        <is>
          <t>Tooltip shows negative value or 'shortage' · colour = understock colour · matches the number in the table below the chart</t>
        </is>
      </c>
      <c r="F89" s="17" t="inlineStr"/>
      <c r="G89" s="28" t="inlineStr">
        <is>
          <t>TODO</t>
        </is>
      </c>
      <c r="H89" s="17" t="inlineStr"/>
      <c r="I89" s="17" t="inlineStr"/>
    </row>
    <row r="90">
      <c r="A90" s="21" t="inlineStr">
        <is>
          <t>I</t>
        </is>
      </c>
      <c r="B90" s="21" t="n">
        <v>4</v>
      </c>
      <c r="C90" s="25" t="inlineStr">
        <is>
          <t>Dashboard</t>
        </is>
      </c>
      <c r="D90" s="25" t="inlineStr">
        <is>
          <t>Hover over an overstock month.</t>
        </is>
      </c>
      <c r="E90" s="25" t="inlineStr">
        <is>
          <t>Tooltip shows positive value · colour = overstock colour · number matches the table</t>
        </is>
      </c>
      <c r="F90" s="17" t="inlineStr"/>
      <c r="G90" s="28" t="inlineStr">
        <is>
          <t>TODO</t>
        </is>
      </c>
      <c r="H90" s="17" t="inlineStr"/>
      <c r="I90" s="17" t="inlineStr"/>
    </row>
    <row r="91">
      <c r="A91" s="21" t="inlineStr">
        <is>
          <t>I</t>
        </is>
      </c>
      <c r="B91" s="21" t="n">
        <v>5</v>
      </c>
      <c r="C91" s="25" t="inlineStr">
        <is>
          <t>Dashboard</t>
        </is>
      </c>
      <c r="D91" s="25" t="inlineStr">
        <is>
          <t>Check the Actual stock line on the inventory chart.</t>
        </is>
      </c>
      <c r="E91" s="25" t="inlineStr">
        <is>
          <t>Data labels above every data point · labels show rounded stock value · no overlap with axis labels · starting stock (first point) categorised correctly</t>
        </is>
      </c>
      <c r="F91" s="17" t="inlineStr"/>
      <c r="G91" s="28" t="inlineStr">
        <is>
          <t>TODO</t>
        </is>
      </c>
      <c r="H91" s="17" t="inlineStr"/>
      <c r="I91" s="17" t="inlineStr"/>
    </row>
    <row r="92">
      <c r="A92" s="21" t="inlineStr">
        <is>
          <t>I</t>
        </is>
      </c>
      <c r="B92" s="21" t="n">
        <v>6</v>
      </c>
      <c r="C92" s="25" t="inlineStr">
        <is>
          <t>Dashboard</t>
        </is>
      </c>
      <c r="D92" s="25" t="inlineStr">
        <is>
          <t>Open the Projected Financial chart.</t>
        </is>
      </c>
      <c r="E92" s="25" t="inlineStr">
        <is>
          <t>Starting stock bar/line present before the first planning period · starting stock value matches L4 baseline · revenue curve starts after starting stock</t>
        </is>
      </c>
      <c r="F92" s="17" t="inlineStr"/>
      <c r="G92" s="28" t="inlineStr">
        <is>
          <t>TODO</t>
        </is>
      </c>
      <c r="H92" s="17" t="inlineStr"/>
      <c r="I92" s="17" t="inlineStr"/>
    </row>
    <row r="93">
      <c r="A93" s="21" t="inlineStr">
        <is>
          <t>I</t>
        </is>
      </c>
      <c r="B93" s="21" t="n">
        <v>7</v>
      </c>
      <c r="C93" s="25" t="inlineStr">
        <is>
          <t>Planning</t>
        </is>
      </c>
      <c r="D93" s="25" t="inlineStr">
        <is>
          <t>Edit L4 600003806 starting stock to 300.0. Go back to Dashboard.</t>
        </is>
      </c>
      <c r="E93" s="25" t="inlineStr">
        <is>
          <t>Inventory chart starting-stock point raised · Financial chart starting stock bar raised · Actual stock data label 2025-12 shows the new value (+270 vs baseline)</t>
        </is>
      </c>
      <c r="F93" s="17" t="inlineStr"/>
      <c r="G93" s="28" t="inlineStr">
        <is>
          <t>TODO</t>
        </is>
      </c>
      <c r="H93" s="17" t="inlineStr"/>
      <c r="I93" s="17" t="inlineStr"/>
    </row>
    <row r="94">
      <c r="A94" s="21" t="inlineStr">
        <is>
          <t>I</t>
        </is>
      </c>
      <c r="B94" s="21" t="n">
        <v>8</v>
      </c>
      <c r="C94" s="25" t="inlineStr">
        <is>
          <t>Dashboard</t>
        </is>
      </c>
      <c r="D94" s="25" t="inlineStr">
        <is>
          <t>Cache check: press Ctrl+F5 (hard reload) on Dashboard.</t>
        </is>
      </c>
      <c r="E94" s="25" t="inlineStr">
        <is>
          <t>Charts redrawn with L4 = 300 · no old (cached) curve visible · KPIs current</t>
        </is>
      </c>
      <c r="F94" s="17" t="inlineStr"/>
      <c r="G94" s="28" t="inlineStr">
        <is>
          <t>TODO</t>
        </is>
      </c>
      <c r="H94" s="17" t="inlineStr"/>
      <c r="I94" s="17" t="inlineStr"/>
    </row>
    <row r="95">
      <c r="A95" s="21" t="inlineStr">
        <is>
          <t>I</t>
        </is>
      </c>
      <c r="B95" s="21" t="n">
        <v>9</v>
      </c>
      <c r="C95" s="25" t="inlineStr">
        <is>
          <t>Inventory Quality</t>
        </is>
      </c>
      <c r="D95" s="25" t="inlineStr">
        <is>
          <t>Open the Inventory Quality tab fully.</t>
        </is>
      </c>
      <c r="E95" s="25" t="inlineStr">
        <is>
          <t>All materials show consistent understock/overstock classification · total row matches the sum of bars on Dashboard</t>
        </is>
      </c>
      <c r="F95" s="17" t="inlineStr"/>
      <c r="G95" s="28" t="inlineStr">
        <is>
          <t>TODO</t>
        </is>
      </c>
      <c r="H95" s="17" t="inlineStr"/>
      <c r="I95" s="17" t="inlineStr"/>
    </row>
    <row r="96">
      <c r="A96" s="21" t="inlineStr">
        <is>
          <t>I</t>
        </is>
      </c>
      <c r="B96" s="21" t="n">
        <v>10</v>
      </c>
      <c r="C96" s="25" t="inlineStr">
        <is>
          <t>Planning</t>
        </is>
      </c>
      <c r="D96" s="25" t="inlineStr">
        <is>
          <t>Edit L1 demand 600003806 2025-12 by +5000 (force understock).</t>
        </is>
      </c>
      <c r="E96" s="25" t="inlineStr">
        <is>
          <t>Inventory chart shows a negative bar in 2025-12 · data label on Actual stock line 2025-12 is negative or 0 · Inventory Quality tab marks this month as shortage</t>
        </is>
      </c>
      <c r="F96" s="17" t="inlineStr"/>
      <c r="G96" s="28" t="inlineStr">
        <is>
          <t>TODO</t>
        </is>
      </c>
      <c r="H96" s="17" t="inlineStr"/>
      <c r="I96" s="17" t="inlineStr"/>
    </row>
    <row r="97">
      <c r="A97" s="21" t="inlineStr">
        <is>
          <t>I</t>
        </is>
      </c>
      <c r="B97" s="21" t="n">
        <v>11</v>
      </c>
      <c r="C97" s="25" t="inlineStr">
        <is>
          <t>Machines</t>
        </is>
      </c>
      <c r="D97" s="25" t="inlineStr">
        <is>
          <t>Open Machines tab, check the utilization heatmap.</t>
        </is>
      </c>
      <c r="E97" s="25" t="inlineStr">
        <is>
          <t>Heatmap renders · colour scale consistent · tooltips show percentages · no empty cells where there is data</t>
        </is>
      </c>
      <c r="F97" s="17" t="inlineStr"/>
      <c r="G97" s="28" t="inlineStr">
        <is>
          <t>TODO</t>
        </is>
      </c>
      <c r="H97" s="17" t="inlineStr"/>
      <c r="I97" s="17" t="inlineStr"/>
    </row>
    <row r="98">
      <c r="A98" s="21" t="inlineStr">
        <is>
          <t>I</t>
        </is>
      </c>
      <c r="B98" s="21" t="n">
        <v>12</v>
      </c>
      <c r="C98" s="25" t="inlineStr">
        <is>
          <t>Machines</t>
        </is>
      </c>
      <c r="D98" s="25" t="inlineStr">
        <is>
          <t>Check the FTE chart ZZZ_PACKGROUP01.</t>
        </is>
      </c>
      <c r="E98" s="25" t="inlineStr">
        <is>
          <t>Line renders for all periods · end value matches L12 in the Planning tab</t>
        </is>
      </c>
      <c r="F98" s="17" t="inlineStr"/>
      <c r="G98" s="28" t="inlineStr">
        <is>
          <t>TODO</t>
        </is>
      </c>
      <c r="H98" s="17" t="inlineStr"/>
      <c r="I98" s="17" t="inlineStr"/>
    </row>
    <row r="99">
      <c r="A99" s="21" t="inlineStr">
        <is>
          <t>I</t>
        </is>
      </c>
      <c r="B99" s="21" t="n">
        <v>13</v>
      </c>
      <c r="C99" s="25" t="inlineStr">
        <is>
          <t>—</t>
        </is>
      </c>
      <c r="D99" s="25" t="inlineStr">
        <is>
          <t>Click Export (Excel export button).</t>
        </is>
      </c>
      <c r="E99" s="25" t="inlineStr">
        <is>
          <t>Download starts · file name contains the planning month · no error</t>
        </is>
      </c>
      <c r="F99" s="17" t="inlineStr"/>
      <c r="G99" s="28" t="inlineStr">
        <is>
          <t>TODO</t>
        </is>
      </c>
      <c r="H99" s="17" t="inlineStr"/>
      <c r="I99" s="17" t="inlineStr"/>
    </row>
    <row r="100">
      <c r="A100" s="21" t="inlineStr">
        <is>
          <t>I</t>
        </is>
      </c>
      <c r="B100" s="21" t="n">
        <v>14</v>
      </c>
      <c r="C100" s="25" t="inlineStr">
        <is>
          <t>Excel</t>
        </is>
      </c>
      <c r="D100" s="25" t="inlineStr">
        <is>
          <t>Open the file. Find the tab with the inventory quality chart.</t>
        </is>
      </c>
      <c r="E100" s="25" t="inlineStr">
        <is>
          <t>Chart present as embedded PNG (no native Excel chart) · understock/overstock visually identical to UI · no openpyxl chart fragment or chart1.xml error</t>
        </is>
      </c>
      <c r="F100" s="17" t="inlineStr"/>
      <c r="G100" s="28" t="inlineStr">
        <is>
          <t>TODO</t>
        </is>
      </c>
      <c r="H100" s="17" t="inlineStr"/>
      <c r="I100" s="17" t="inlineStr"/>
    </row>
    <row r="101">
      <c r="A101" s="21" t="inlineStr">
        <is>
          <t>I</t>
        </is>
      </c>
      <c r="B101" s="21" t="n">
        <v>15</v>
      </c>
      <c r="C101" s="25" t="inlineStr">
        <is>
          <t>Excel</t>
        </is>
      </c>
      <c r="D101" s="25" t="inlineStr">
        <is>
          <t>Compare the PNG with a UI screenshot of the same chart.</t>
        </is>
      </c>
      <c r="E101" s="25" t="inlineStr">
        <is>
          <t>Visually equal (same bars, colours, labels) · axis labels readable · legend complete</t>
        </is>
      </c>
      <c r="F101" s="17" t="inlineStr"/>
      <c r="G101" s="28" t="inlineStr">
        <is>
          <t>TODO</t>
        </is>
      </c>
      <c r="H101" s="17" t="inlineStr"/>
      <c r="I101" s="17" t="inlineStr"/>
    </row>
    <row r="102">
      <c r="A102" s="21" t="inlineStr">
        <is>
          <t>I</t>
        </is>
      </c>
      <c r="B102" s="21" t="n">
        <v>16</v>
      </c>
      <c r="C102" s="25" t="inlineStr">
        <is>
          <t>Excel</t>
        </is>
      </c>
      <c r="D102" s="25" t="inlineStr">
        <is>
          <t>Find the tab with the financial projection.</t>
        </is>
      </c>
      <c r="E102" s="25" t="inlineStr">
        <is>
          <t>Starting stock element present in the PNG · revenue projection correct · title/caption matches UI</t>
        </is>
      </c>
      <c r="F102" s="17" t="inlineStr"/>
      <c r="G102" s="28" t="inlineStr">
        <is>
          <t>TODO</t>
        </is>
      </c>
      <c r="H102" s="17" t="inlineStr"/>
      <c r="I102" s="17" t="inlineStr"/>
    </row>
    <row r="103">
      <c r="A103" s="21" t="inlineStr">
        <is>
          <t>I</t>
        </is>
      </c>
      <c r="B103" s="21" t="n">
        <v>17</v>
      </c>
      <c r="C103" s="25" t="inlineStr">
        <is>
          <t>Excel</t>
        </is>
      </c>
      <c r="D103" s="25" t="inlineStr">
        <is>
          <t>Check the number tabs (L01, L04, L07, L12).</t>
        </is>
      </c>
      <c r="E103" s="25" t="inlineStr">
        <is>
          <t>L04 starting stock = 300 for 600003806 · L12 ZZZ_PACKGROUP01 2025-12 matches UI at the time of export · no NaN/empty cells where the UI showed numbers</t>
        </is>
      </c>
      <c r="F103" s="17" t="inlineStr"/>
      <c r="G103" s="28" t="inlineStr">
        <is>
          <t>TODO</t>
        </is>
      </c>
      <c r="H103" s="17" t="inlineStr"/>
      <c r="I103" s="17" t="inlineStr"/>
    </row>
    <row r="104">
      <c r="A104" s="21" t="inlineStr">
        <is>
          <t>I</t>
        </is>
      </c>
      <c r="B104" s="21" t="n">
        <v>18</v>
      </c>
      <c r="C104" s="25" t="inlineStr">
        <is>
          <t>Excel</t>
        </is>
      </c>
      <c r="D104" s="25" t="inlineStr">
        <is>
          <t>Compare Actual stock data labels in the PNG with the L04 tab.</t>
        </is>
      </c>
      <c r="E104" s="25" t="inlineStr">
        <is>
          <t>Data labels in PNG = values in the L04 row for 600003806 · all periods present</t>
        </is>
      </c>
      <c r="F104" s="17" t="inlineStr"/>
      <c r="G104" s="28" t="inlineStr">
        <is>
          <t>TODO</t>
        </is>
      </c>
      <c r="H104" s="17" t="inlineStr"/>
      <c r="I104" s="17" t="inlineStr"/>
    </row>
    <row r="105">
      <c r="A105" s="21" t="inlineStr">
        <is>
          <t>I</t>
        </is>
      </c>
      <c r="B105" s="21" t="n">
        <v>19</v>
      </c>
      <c r="C105" s="25" t="inlineStr">
        <is>
          <t>Planning</t>
        </is>
      </c>
      <c r="D105" s="25" t="inlineStr">
        <is>
          <t>Reset all edits in the UI. Export again.</t>
        </is>
      </c>
      <c r="E105" s="25" t="inlineStr">
        <is>
          <t>Second export starts without error · inventory chart PNG differs from the first export (back to baseline) · L4 starting stock in second export = 30 (baseline)</t>
        </is>
      </c>
      <c r="F105" s="17" t="inlineStr"/>
      <c r="G105" s="28" t="inlineStr">
        <is>
          <t>TODO</t>
        </is>
      </c>
      <c r="H105" s="17" t="inlineStr"/>
      <c r="I105" s="17" t="inlineStr"/>
    </row>
    <row r="106">
      <c r="A106" s="21" t="inlineStr">
        <is>
          <t>I</t>
        </is>
      </c>
      <c r="B106" s="21" t="n">
        <v>20</v>
      </c>
      <c r="C106" s="25" t="inlineStr">
        <is>
          <t>—</t>
        </is>
      </c>
      <c r="D106" s="25" t="inlineStr">
        <is>
          <t>Final check: open both exports side by side.</t>
        </is>
      </c>
      <c r="E106" s="25" t="inlineStr">
        <is>
          <t>Differences only in the edited rows/charts · non-edited rows byte-identical · PNG charts in both exports render without broken images</t>
        </is>
      </c>
      <c r="F106" s="17" t="inlineStr"/>
      <c r="G106" s="28" t="inlineStr">
        <is>
          <t>TODO</t>
        </is>
      </c>
      <c r="H106" s="17" t="inlineStr"/>
      <c r="I106" s="17" t="inlineStr"/>
    </row>
    <row r="107">
      <c r="A107" s="22" t="inlineStr">
        <is>
          <t>TEST K — Solo — MoM verification, UI check and export</t>
        </is>
      </c>
      <c r="B107" s="23" t="n"/>
      <c r="C107" s="23" t="n"/>
      <c r="D107" s="23" t="n"/>
      <c r="E107" s="23" t="n"/>
      <c r="F107" s="23" t="n"/>
      <c r="G107" s="23" t="n"/>
      <c r="H107" s="23" t="n"/>
      <c r="I107" s="24" t="n"/>
    </row>
    <row r="108">
      <c r="A108" s="21" t="inlineStr">
        <is>
          <t>K</t>
        </is>
      </c>
      <c r="B108" s="21" t="n">
        <v>1</v>
      </c>
      <c r="C108" s="25" t="inlineStr">
        <is>
          <t>—</t>
        </is>
      </c>
      <c r="D108" s="25" t="inlineStr">
        <is>
          <t>Start the application. Upload the golden fixture and run Calculate with planning month 2025-12.</t>
        </is>
      </c>
      <c r="E108" s="25" t="inlineStr">
        <is>
          <t>Session loaded · Dashboard shows data · no error toast · console clean</t>
        </is>
      </c>
      <c r="F108" s="17" t="inlineStr"/>
      <c r="G108" s="28" t="inlineStr">
        <is>
          <t>TODO</t>
        </is>
      </c>
      <c r="H108" s="17" t="inlineStr"/>
      <c r="I108" s="17" t="inlineStr"/>
    </row>
    <row r="109">
      <c r="A109" s="21" t="inlineStr">
        <is>
          <t>K</t>
        </is>
      </c>
      <c r="B109" s="21" t="n">
        <v>2</v>
      </c>
      <c r="C109" s="25" t="inlineStr">
        <is>
          <t>MoM</t>
        </is>
      </c>
      <c r="D109" s="25" t="inlineStr">
        <is>
          <t>Open the MoM tab.</t>
        </is>
      </c>
      <c r="E109" s="25" t="inlineStr">
        <is>
          <t>MoM tab visible · banner disappears or shows a meaningful status · no empty or broken layout</t>
        </is>
      </c>
      <c r="F109" s="17" t="inlineStr"/>
      <c r="G109" s="28" t="inlineStr">
        <is>
          <t>TODO</t>
        </is>
      </c>
      <c r="H109" s="17" t="inlineStr"/>
      <c r="I109" s="17" t="inlineStr"/>
    </row>
    <row r="110">
      <c r="A110" s="21" t="inlineStr">
        <is>
          <t>K</t>
        </is>
      </c>
      <c r="B110" s="21" t="n">
        <v>3</v>
      </c>
      <c r="C110" s="25" t="inlineStr">
        <is>
          <t>MoM</t>
        </is>
      </c>
      <c r="D110" s="25" t="inlineStr">
        <is>
          <t>Check the MoM KPI blocks.</t>
        </is>
      </c>
      <c r="E110" s="25" t="inlineStr">
        <is>
          <t>Materials count &gt; 0 · Up/Down counts visible · Average delta shows a percentage · no NaN / undefined / '--' where data belongs</t>
        </is>
      </c>
      <c r="F110" s="17" t="inlineStr"/>
      <c r="G110" s="28" t="inlineStr">
        <is>
          <t>TODO</t>
        </is>
      </c>
      <c r="H110" s="17" t="inlineStr"/>
      <c r="I110" s="17" t="inlineStr"/>
    </row>
    <row r="111">
      <c r="A111" s="21" t="inlineStr">
        <is>
          <t>K</t>
        </is>
      </c>
      <c r="B111" s="21" t="n">
        <v>4</v>
      </c>
      <c r="C111" s="25" t="inlineStr">
        <is>
          <t>MoM</t>
        </is>
      </c>
      <c r="D111" s="25" t="inlineStr">
        <is>
          <t>Check the scatter plot.</t>
        </is>
      </c>
      <c r="E111" s="25" t="inlineStr">
        <is>
          <t>Points visible · axes show from/to periods · colours/markers readable · no empty canvas</t>
        </is>
      </c>
      <c r="F111" s="17" t="inlineStr"/>
      <c r="G111" s="28" t="inlineStr">
        <is>
          <t>TODO</t>
        </is>
      </c>
      <c r="H111" s="17" t="inlineStr"/>
      <c r="I111" s="17" t="inlineStr"/>
    </row>
    <row r="112">
      <c r="A112" s="21" t="inlineStr">
        <is>
          <t>K</t>
        </is>
      </c>
      <c r="B112" s="21" t="n">
        <v>5</v>
      </c>
      <c r="C112" s="25" t="inlineStr">
        <is>
          <t>MoM</t>
        </is>
      </c>
      <c r="D112" s="25" t="inlineStr">
        <is>
          <t>Check the Top Movers list.</t>
        </is>
      </c>
      <c r="E112" s="25" t="inlineStr">
        <is>
          <t>List contains materials · largest absolute deltas at the top · material names/numbers readable</t>
        </is>
      </c>
      <c r="F112" s="17" t="inlineStr"/>
      <c r="G112" s="28" t="inlineStr">
        <is>
          <t>TODO</t>
        </is>
      </c>
      <c r="H112" s="17" t="inlineStr"/>
      <c r="I112" s="17" t="inlineStr"/>
    </row>
    <row r="113">
      <c r="A113" s="21" t="inlineStr">
        <is>
          <t>K</t>
        </is>
      </c>
      <c r="B113" s="21" t="n">
        <v>6</v>
      </c>
      <c r="C113" s="25" t="inlineStr">
        <is>
          <t>MoM</t>
        </is>
      </c>
      <c r="D113" s="25" t="inlineStr">
        <is>
          <t>Check the detail table.</t>
        </is>
      </c>
      <c r="E113" s="25" t="inlineStr">
        <is>
          <t>Table contains material number, name, from/to periods, delta and delta % · first rows have numeric values</t>
        </is>
      </c>
      <c r="F113" s="17" t="inlineStr"/>
      <c r="G113" s="28" t="inlineStr">
        <is>
          <t>TODO</t>
        </is>
      </c>
      <c r="H113" s="17" t="inlineStr"/>
      <c r="I113" s="17" t="inlineStr"/>
    </row>
    <row r="114">
      <c r="A114" s="21" t="inlineStr">
        <is>
          <t>K</t>
        </is>
      </c>
      <c r="B114" s="21" t="n">
        <v>7</v>
      </c>
      <c r="C114" s="25" t="inlineStr">
        <is>
          <t>MoM</t>
        </is>
      </c>
      <c r="D114" s="25" t="inlineStr">
        <is>
          <t>Sort the detail table on delta % ascending, then descending.</t>
        </is>
      </c>
      <c r="E114" s="25" t="inlineStr">
        <is>
          <t>Order changes · highest and lowest movers swap logically · no rows disappear wrongly</t>
        </is>
      </c>
      <c r="F114" s="17" t="inlineStr"/>
      <c r="G114" s="28" t="inlineStr">
        <is>
          <t>TODO</t>
        </is>
      </c>
      <c r="H114" s="17" t="inlineStr"/>
      <c r="I114" s="17" t="inlineStr"/>
    </row>
    <row r="115">
      <c r="A115" s="21" t="inlineStr">
        <is>
          <t>K</t>
        </is>
      </c>
      <c r="B115" s="21" t="n">
        <v>8</v>
      </c>
      <c r="C115" s="25" t="inlineStr">
        <is>
          <t>MoM</t>
        </is>
      </c>
      <c r="D115" s="25" t="inlineStr">
        <is>
          <t>Search/filter on a material number visible in the table.</t>
        </is>
      </c>
      <c r="E115" s="25" t="inlineStr">
        <is>
          <t>Only matching rows remain · clearing the search restores all rows</t>
        </is>
      </c>
      <c r="F115" s="17" t="inlineStr"/>
      <c r="G115" s="28" t="inlineStr">
        <is>
          <t>TODO</t>
        </is>
      </c>
      <c r="H115" s="17" t="inlineStr"/>
      <c r="I115" s="17" t="inlineStr"/>
    </row>
    <row r="116">
      <c r="A116" s="21" t="inlineStr">
        <is>
          <t>K</t>
        </is>
      </c>
      <c r="B116" s="21" t="n">
        <v>9</v>
      </c>
      <c r="C116" s="25" t="inlineStr">
        <is>
          <t>Inventory</t>
        </is>
      </c>
      <c r="D116" s="25" t="inlineStr">
        <is>
          <t>Pick a material from the MoM detail table. Note the inventory values of two consecutive periods.</t>
        </is>
      </c>
      <c r="E116" s="25" t="inlineStr">
        <is>
          <t>Noted periods exist in Inventory · values are numeric</t>
        </is>
      </c>
      <c r="F116" s="17" t="inlineStr"/>
      <c r="G116" s="28" t="inlineStr">
        <is>
          <t>TODO</t>
        </is>
      </c>
      <c r="H116" s="17" t="inlineStr"/>
      <c r="I116" s="17" t="inlineStr"/>
    </row>
    <row r="117">
      <c r="A117" s="21" t="inlineStr">
        <is>
          <t>K</t>
        </is>
      </c>
      <c r="B117" s="21" t="n">
        <v>10</v>
      </c>
      <c r="C117" s="25" t="inlineStr">
        <is>
          <t>MoM</t>
        </is>
      </c>
      <c r="D117" s="25" t="inlineStr">
        <is>
          <t>Compare the same material in MoM.</t>
        </is>
      </c>
      <c r="E117" s="25" t="inlineStr">
        <is>
          <t>from value = Inventory previous period · to value = Inventory current period · delta = to − from · delta % right within rounding</t>
        </is>
      </c>
      <c r="F117" s="17" t="inlineStr"/>
      <c r="G117" s="28" t="inlineStr">
        <is>
          <t>TODO</t>
        </is>
      </c>
      <c r="H117" s="17" t="inlineStr"/>
      <c r="I117" s="17" t="inlineStr"/>
    </row>
    <row r="118">
      <c r="A118" s="21" t="inlineStr">
        <is>
          <t>K</t>
        </is>
      </c>
      <c r="B118" s="21" t="n">
        <v>11</v>
      </c>
      <c r="C118" s="25" t="inlineStr">
        <is>
          <t>MoM</t>
        </is>
      </c>
      <c r="D118" s="25" t="inlineStr">
        <is>
          <t>Change 'Months to compare' to 1 and refresh MoM.</t>
        </is>
      </c>
      <c r="E118" s="25" t="inlineStr">
        <is>
          <t>MoM shows 1 transition · periods and table adapt · no old rows from the previous setting remain</t>
        </is>
      </c>
      <c r="F118" s="17" t="inlineStr"/>
      <c r="G118" s="28" t="inlineStr">
        <is>
          <t>TODO</t>
        </is>
      </c>
      <c r="H118" s="17" t="inlineStr"/>
      <c r="I118" s="17" t="inlineStr"/>
    </row>
    <row r="119">
      <c r="A119" s="21" t="inlineStr">
        <is>
          <t>K</t>
        </is>
      </c>
      <c r="B119" s="21" t="n">
        <v>12</v>
      </c>
      <c r="C119" s="25" t="inlineStr">
        <is>
          <t>MoM</t>
        </is>
      </c>
      <c r="D119" s="25" t="inlineStr">
        <is>
          <t>Change 'Months to compare' to 6 and refresh MoM.</t>
        </is>
      </c>
      <c r="E119" s="25" t="inlineStr">
        <is>
          <t>Several transitions visible · scatter and top movers refresh · material count stays consistent</t>
        </is>
      </c>
      <c r="F119" s="17" t="inlineStr"/>
      <c r="G119" s="28" t="inlineStr">
        <is>
          <t>TODO</t>
        </is>
      </c>
      <c r="H119" s="17" t="inlineStr"/>
      <c r="I119" s="17" t="inlineStr"/>
    </row>
    <row r="120">
      <c r="A120" s="21" t="inlineStr">
        <is>
          <t>K</t>
        </is>
      </c>
      <c r="B120" s="21" t="n">
        <v>13</v>
      </c>
      <c r="C120" s="25" t="inlineStr">
        <is>
          <t>Planning</t>
        </is>
      </c>
      <c r="D120" s="25" t="inlineStr">
        <is>
          <t>Make a clear change in the Planning sheet, e.g. an L1 demand edit for a visible material in the first forecast period. Note original and new value.</t>
        </is>
      </c>
      <c r="E120" s="25" t="inlineStr">
        <is>
          <t>Planning accepts the edit · edited cell shows the new value · edit indicator / pending edit visible · no error</t>
        </is>
      </c>
      <c r="F120" s="17" t="inlineStr"/>
      <c r="G120" s="28" t="inlineStr">
        <is>
          <t>TODO</t>
        </is>
      </c>
      <c r="H120" s="17" t="inlineStr"/>
      <c r="I120" s="17" t="inlineStr"/>
    </row>
    <row r="121">
      <c r="A121" s="21" t="inlineStr">
        <is>
          <t>K</t>
        </is>
      </c>
      <c r="B121" s="21" t="n">
        <v>14</v>
      </c>
      <c r="C121" s="25" t="inlineStr">
        <is>
          <t>Planning + Inventory</t>
        </is>
      </c>
      <c r="D121" s="25" t="inlineStr">
        <is>
          <t>Check that the change is calculated through: downstream planning lines and Inventory for the same material.</t>
        </is>
      </c>
      <c r="E121" s="25" t="inlineStr">
        <is>
          <t>Dependent planning values change logically · inventory changes in the right direction · no stale values remain visible</t>
        </is>
      </c>
      <c r="F121" s="17" t="inlineStr"/>
      <c r="G121" s="28" t="inlineStr">
        <is>
          <t>TODO</t>
        </is>
      </c>
      <c r="H121" s="17" t="inlineStr"/>
      <c r="I121" s="17" t="inlineStr"/>
    </row>
    <row r="122">
      <c r="A122" s="21" t="inlineStr">
        <is>
          <t>K</t>
        </is>
      </c>
      <c r="B122" s="21" t="n">
        <v>15</v>
      </c>
      <c r="C122" s="25" t="inlineStr">
        <is>
          <t>MoM</t>
        </is>
      </c>
      <c r="D122" s="25" t="inlineStr">
        <is>
          <t>Open or refresh MoM again.</t>
        </is>
      </c>
      <c r="E122" s="25" t="inlineStr">
        <is>
          <t>The edited material changes in the MoM output · from/to/delta recalculated · delta direction matches the inventory impact</t>
        </is>
      </c>
      <c r="F122" s="17" t="inlineStr"/>
      <c r="G122" s="28" t="inlineStr">
        <is>
          <t>TODO</t>
        </is>
      </c>
      <c r="H122" s="17" t="inlineStr"/>
      <c r="I122" s="17" t="inlineStr"/>
    </row>
    <row r="123">
      <c r="A123" s="21" t="inlineStr">
        <is>
          <t>K</t>
        </is>
      </c>
      <c r="B123" s="21" t="n">
        <v>16</v>
      </c>
      <c r="C123" s="25" t="inlineStr">
        <is>
          <t>—</t>
        </is>
      </c>
      <c r="D123" s="25" t="inlineStr">
        <is>
          <t>Run Calculate again so that a previous-cycle snapshot is available for export.</t>
        </is>
      </c>
      <c r="E123" s="25" t="inlineStr">
        <is>
          <t>Calculate completes · session stays active · no snapshot warning in UI or server log</t>
        </is>
      </c>
      <c r="F123" s="17" t="inlineStr"/>
      <c r="G123" s="28" t="inlineStr">
        <is>
          <t>TODO</t>
        </is>
      </c>
      <c r="H123" s="17" t="inlineStr"/>
      <c r="I123" s="17" t="inlineStr"/>
    </row>
    <row r="124">
      <c r="A124" s="21" t="inlineStr">
        <is>
          <t>K</t>
        </is>
      </c>
      <c r="B124" s="21" t="n">
        <v>17</v>
      </c>
      <c r="C124" s="25" t="inlineStr">
        <is>
          <t>Export</t>
        </is>
      </c>
      <c r="D124" s="25" t="inlineStr">
        <is>
          <t>Click Export and open the downloaded Excel.</t>
        </is>
      </c>
      <c r="E124" s="25" t="inlineStr">
        <is>
          <t>Export starts without error · file opens · standard planning sheets present</t>
        </is>
      </c>
      <c r="F124" s="17" t="inlineStr"/>
      <c r="G124" s="28" t="inlineStr">
        <is>
          <t>TODO</t>
        </is>
      </c>
      <c r="H124" s="17" t="inlineStr"/>
      <c r="I124" s="17" t="inlineStr"/>
    </row>
    <row r="125">
      <c r="A125" s="21" t="inlineStr">
        <is>
          <t>K</t>
        </is>
      </c>
      <c r="B125" s="21" t="n">
        <v>18</v>
      </c>
      <c r="C125" s="25" t="inlineStr">
        <is>
          <t>Excel</t>
        </is>
      </c>
      <c r="D125" s="25" t="inlineStr">
        <is>
          <t>Check that the Planning sheet in Excel contains the edited value and the calculated downstream values.</t>
        </is>
      </c>
      <c r="E125" s="25" t="inlineStr">
        <is>
          <t>Edited cell matches the UI · dependent planning/inventory values match the UI · no NaN or empty cells where data belongs</t>
        </is>
      </c>
      <c r="F125" s="17" t="inlineStr"/>
      <c r="G125" s="28" t="inlineStr">
        <is>
          <t>TODO</t>
        </is>
      </c>
      <c r="H125" s="17" t="inlineStr"/>
      <c r="I125" s="17" t="inlineStr"/>
    </row>
    <row r="126">
      <c r="A126" s="21" t="inlineStr">
        <is>
          <t>K</t>
        </is>
      </c>
      <c r="B126" s="21" t="n">
        <v>19</v>
      </c>
      <c r="C126" s="25" t="inlineStr">
        <is>
          <t>Excel</t>
        </is>
      </c>
      <c r="D126" s="25" t="inlineStr">
        <is>
          <t>Find the sheet 'MoM Comparison'.</t>
        </is>
      </c>
      <c r="E126" s="25" t="inlineStr">
        <is>
          <t>Sheet exists when previous-cycle data is available · columns contain material, periods, delta and delta % · sheet not empty</t>
        </is>
      </c>
      <c r="F126" s="17" t="inlineStr"/>
      <c r="G126" s="28" t="inlineStr">
        <is>
          <t>TODO</t>
        </is>
      </c>
      <c r="H126" s="17" t="inlineStr"/>
      <c r="I126" s="17" t="inlineStr"/>
    </row>
    <row r="127">
      <c r="A127" s="21" t="inlineStr">
        <is>
          <t>K</t>
        </is>
      </c>
      <c r="B127" s="21" t="n">
        <v>20</v>
      </c>
      <c r="C127" s="25" t="inlineStr">
        <is>
          <t>Excel</t>
        </is>
      </c>
      <c r="D127" s="25" t="inlineStr">
        <is>
          <t>Check the MoM scatter/chart output in the export if present.</t>
        </is>
      </c>
      <c r="E127" s="25" t="inlineStr">
        <is>
          <t>Scatter/chart visible or scatter data in the workbook · no broken image or empty sheet</t>
        </is>
      </c>
      <c r="F127" s="17" t="inlineStr"/>
      <c r="G127" s="28" t="inlineStr">
        <is>
          <t>TODO</t>
        </is>
      </c>
      <c r="H127" s="17" t="inlineStr"/>
      <c r="I127" s="17" t="inlineStr"/>
    </row>
    <row r="128">
      <c r="A128" s="21" t="inlineStr">
        <is>
          <t>K</t>
        </is>
      </c>
      <c r="B128" s="21" t="n">
        <v>21</v>
      </c>
      <c r="C128" s="25" t="inlineStr">
        <is>
          <t>MoM + Excel</t>
        </is>
      </c>
      <c r="D128" s="25" t="inlineStr">
        <is>
          <t>Compare the edited material from the UI with the same row in 'MoM Comparison'.</t>
        </is>
      </c>
      <c r="E128" s="25" t="inlineStr">
        <is>
          <t>Material number matches · from/to/delta/delta % agree within rounding · export uses the recalculated values after the Planning sheet change</t>
        </is>
      </c>
      <c r="F128" s="17" t="inlineStr"/>
      <c r="G128" s="28" t="inlineStr">
        <is>
          <t>TODO</t>
        </is>
      </c>
      <c r="H128" s="17" t="inlineStr"/>
      <c r="I128" s="17" t="inlineStr"/>
    </row>
    <row r="129">
      <c r="A129" s="21" t="inlineStr">
        <is>
          <t>K</t>
        </is>
      </c>
      <c r="B129" s="21" t="n">
        <v>22</v>
      </c>
      <c r="C129" s="25" t="inlineStr">
        <is>
          <t>Planning</t>
        </is>
      </c>
      <c r="D129" s="25" t="inlineStr">
        <is>
          <t>Reset the edit from step 13. Refresh MoM.</t>
        </is>
      </c>
      <c r="E129" s="25" t="inlineStr">
        <is>
          <t>Edit impact disappears · MoM returns to baseline differences · no stale values visible</t>
        </is>
      </c>
      <c r="F129" s="17" t="inlineStr"/>
      <c r="G129" s="28" t="inlineStr">
        <is>
          <t>TODO</t>
        </is>
      </c>
      <c r="H129" s="17" t="inlineStr"/>
      <c r="I129" s="17" t="inlineStr"/>
    </row>
  </sheetData>
  <autoFilter ref="A4:I4"/>
  <mergeCells count="10">
    <mergeCell ref="A65:I65"/>
    <mergeCell ref="A2:I2"/>
    <mergeCell ref="A54:I54"/>
    <mergeCell ref="A107:I107"/>
    <mergeCell ref="A5:I5"/>
    <mergeCell ref="A1:I1"/>
    <mergeCell ref="A27:I27"/>
    <mergeCell ref="A38:I38"/>
    <mergeCell ref="A16:I16"/>
    <mergeCell ref="A86:I86"/>
  </mergeCells>
  <conditionalFormatting sqref="G5:G130">
    <cfRule type="cellIs" priority="1" operator="equal" dxfId="1">
      <formula>"PASS"</formula>
    </cfRule>
    <cfRule type="cellIs" priority="2" operator="equal" dxfId="0">
      <formula>"FAIL"</formula>
    </cfRule>
    <cfRule type="cellIs" priority="3" operator="equal" dxfId="2">
      <formula>"BLOCKED"</formula>
    </cfRule>
    <cfRule type="cellIs" priority="4" operator="equal" dxfId="3">
      <formula>"N/A"</formula>
    </cfRule>
  </conditionalFormatting>
  <dataValidations count="1">
    <dataValidation sqref="G5:G130" showDropDown="0" showInputMessage="0" showErrorMessage="0" allowBlank="1" type="list">
      <formula1>"TODO,PASS,FAIL,BLOCKED,N/A"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4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14" customWidth="1" min="2" max="2"/>
    <col width="40" customWidth="1" min="3" max="3"/>
    <col width="16" customWidth="1" min="4" max="4"/>
    <col width="16" customWidth="1" min="5" max="5"/>
    <col width="14" customWidth="1" min="6" max="6"/>
    <col width="26" customWidth="1" min="7" max="7"/>
    <col width="11" customWidth="1" min="8" max="8"/>
    <col width="44" customWidth="1" min="9" max="9"/>
    <col width="34" customWidth="1" min="10" max="10"/>
    <col width="14" customWidth="1" min="11" max="11"/>
    <col width="11" customWidth="1" min="12" max="12"/>
    <col width="10" customWidth="1" min="13" max="13"/>
    <col width="22" customWidth="1" min="14" max="14"/>
  </cols>
  <sheetData>
    <row r="1" ht="26" customHeight="1">
      <c r="A1" s="16" t="inlineStr">
        <is>
          <t>Deviation register (§10.3) — every FAIL from any sheet gets a row here</t>
        </is>
      </c>
    </row>
    <row r="2">
      <c r="A2" s="2" t="inlineStr">
        <is>
          <t>Class A = app defect · B = ground-truth error (erratum) · C = definition difference (client decides) · D = presentation/rounding · E = alignment/timing · F = test artefact. Severity: Blocking / Major / Minor.</t>
        </is>
      </c>
    </row>
    <row r="4" ht="30" customHeight="1">
      <c r="A4" s="7" t="inlineStr">
        <is>
          <t>#</t>
        </is>
      </c>
      <c r="B4" s="7" t="inlineStr">
        <is>
          <t>Round</t>
        </is>
      </c>
      <c r="C4" s="7" t="inlineStr">
        <is>
          <t>Sheet · material · line · period</t>
        </is>
      </c>
      <c r="D4" s="7" t="inlineStr">
        <is>
          <t>Ground-truth value</t>
        </is>
      </c>
      <c r="E4" s="7" t="inlineStr">
        <is>
          <t>App value</t>
        </is>
      </c>
      <c r="F4" s="7" t="inlineStr">
        <is>
          <t>Δ</t>
        </is>
      </c>
      <c r="G4" s="7" t="inlineStr">
        <is>
          <t>Class (A–F)</t>
        </is>
      </c>
      <c r="H4" s="7" t="inlineStr">
        <is>
          <t>Severity</t>
        </is>
      </c>
      <c r="I4" s="7" t="inlineStr">
        <is>
          <t>Analysis (root cause)</t>
        </is>
      </c>
      <c r="J4" s="7" t="inlineStr">
        <is>
          <t>Decision</t>
        </is>
      </c>
      <c r="K4" s="7" t="inlineStr">
        <is>
          <t>Decided by</t>
        </is>
      </c>
      <c r="L4" s="7" t="inlineStr">
        <is>
          <t>Date</t>
        </is>
      </c>
      <c r="M4" s="7" t="inlineStr">
        <is>
          <t>Status</t>
        </is>
      </c>
      <c r="N4" s="7" t="inlineStr">
        <is>
          <t>Evidence</t>
        </is>
      </c>
    </row>
    <row r="5">
      <c r="A5" s="28" t="n">
        <v>1</v>
      </c>
      <c r="B5" s="17" t="inlineStr">
        <is>
          <t>Baseline 25-08</t>
        </is>
      </c>
      <c r="C5" s="17" t="inlineStr">
        <is>
          <t>Values_Planning · 18 materials · 01. Demand forecast · all 12 periods (216 cells, BOTH pairs)</t>
        </is>
      </c>
      <c r="D5" s="17" t="inlineStr"/>
      <c r="E5" s="17" t="inlineStr"/>
      <c r="F5" s="19">
        <f>IF(AND(ISNUMBER(D5),ISNUMBER(E5)),E5-D5,"")</f>
        <v/>
      </c>
      <c r="G5" s="17" t="inlineStr"/>
      <c r="H5" s="28" t="inlineStr">
        <is>
          <t>Blocking</t>
        </is>
      </c>
      <c r="I5" s="17" t="inlineStr">
        <is>
          <t>Systematic, financial, in both pairs. Which tariff/volume does the revenue line use for these 18 materials (price source, PAP split)?</t>
        </is>
      </c>
      <c r="J5" s="17" t="inlineStr">
        <is>
          <t>Investigate first in Round 1</t>
        </is>
      </c>
      <c r="K5" s="17" t="inlineStr"/>
      <c r="L5" s="17" t="inlineStr"/>
      <c r="M5" s="28" t="inlineStr">
        <is>
          <t>OPEN</t>
        </is>
      </c>
      <c r="N5" s="17" t="inlineStr">
        <is>
          <t>gt_ab.md / gt_cd.md</t>
        </is>
      </c>
    </row>
    <row r="6">
      <c r="A6" s="28" t="n">
        <v>2</v>
      </c>
      <c r="B6" s="17" t="inlineStr">
        <is>
          <t>Baseline 25-08</t>
        </is>
      </c>
      <c r="C6" s="17" t="inlineStr">
        <is>
          <t>Values_Planning · ZZZZZZ_INVENTORY VALUE · 13. Consolidation · Starting stock</t>
        </is>
      </c>
      <c r="D6" s="17" t="n">
        <v>5246842.02</v>
      </c>
      <c r="E6" s="17" t="n">
        <v>0</v>
      </c>
      <c r="F6" s="19">
        <f>IF(AND(ISNUMBER(D6),ISNUMBER(E6)),E6-D6,"")</f>
        <v/>
      </c>
      <c r="G6" s="17" t="inlineStr">
        <is>
          <t>D · Presentation / rounding</t>
        </is>
      </c>
      <c r="H6" s="28" t="inlineStr">
        <is>
          <t>Major</t>
        </is>
      </c>
      <c r="I6" s="17" t="inlineStr">
        <is>
          <t>Export does not fill the starting-stock cell of the consolidation row. Is the value visible elsewhere in the app?</t>
        </is>
      </c>
      <c r="J6" s="17" t="inlineStr"/>
      <c r="K6" s="17" t="inlineStr"/>
      <c r="L6" s="17" t="inlineStr"/>
      <c r="M6" s="28" t="inlineStr">
        <is>
          <t>OPEN</t>
        </is>
      </c>
      <c r="N6" s="17" t="inlineStr"/>
    </row>
    <row r="7">
      <c r="A7" s="28" t="n">
        <v>3</v>
      </c>
      <c r="B7" s="17" t="inlineStr">
        <is>
          <t>Baseline 25-08</t>
        </is>
      </c>
      <c r="C7" s="17" t="inlineStr">
        <is>
          <t>Planning · Z_MACH20 · 10. Utilization rate · 2026-10..12 (and 09. Available capacity blank vs 1)</t>
        </is>
      </c>
      <c r="D7" s="17" t="n">
        <v>22.0402</v>
      </c>
      <c r="E7" s="17" t="n">
        <v>0.2204</v>
      </c>
      <c r="F7" s="19">
        <f>IF(AND(ISNUMBER(D7),ISNUMBER(E7)),E7-D7,"")</f>
        <v/>
      </c>
      <c r="G7" s="17" t="inlineStr">
        <is>
          <t>D · Presentation / rounding</t>
        </is>
      </c>
      <c r="H7" s="28" t="inlineStr">
        <is>
          <t>Major</t>
        </is>
      </c>
      <c r="I7" s="17" t="inlineStr">
        <is>
          <t>Factor 100: Excel in %, app as fraction. Additionally the Excel has no availability in Oct–Dec 2026 — alignment or real gap?</t>
        </is>
      </c>
      <c r="J7" s="17" t="inlineStr">
        <is>
          <t>Fix the unit of L10 in the tolerance table; investigate Oct–Dec</t>
        </is>
      </c>
      <c r="K7" s="17" t="inlineStr"/>
      <c r="L7" s="17" t="inlineStr"/>
      <c r="M7" s="28" t="inlineStr">
        <is>
          <t>OPEN</t>
        </is>
      </c>
      <c r="N7" s="17" t="inlineStr"/>
    </row>
    <row r="8">
      <c r="A8" s="28" t="n">
        <v>4</v>
      </c>
      <c r="B8" s="17" t="inlineStr">
        <is>
          <t>Baseline 25-08</t>
        </is>
      </c>
      <c r="C8" s="17" t="inlineStr">
        <is>
          <t>Planning · ZZ_GROUP03, Z_MACH14/15/16 · 07. Capacity utilization · several periods</t>
        </is>
      </c>
      <c r="D8" s="17" t="n">
        <v>442.5933</v>
      </c>
      <c r="E8" s="17" t="n">
        <v>442.5001</v>
      </c>
      <c r="F8" s="19">
        <f>IF(AND(ISNUMBER(D8),ISNUMBER(E8)),E8-D8,"")</f>
        <v/>
      </c>
      <c r="G8" s="17" t="inlineStr">
        <is>
          <t>D · Presentation / rounding</t>
        </is>
      </c>
      <c r="H8" s="28" t="inlineStr">
        <is>
          <t>Minor</t>
        </is>
      </c>
      <c r="I8" s="17" t="inlineStr">
        <is>
          <t>0.02–0.03 % lower in the app: precision of OEE/throughput in the source (76.45 vs 76.4499…). With which precision does the app read the OEE sheet?</t>
        </is>
      </c>
      <c r="J8" s="17" t="inlineStr"/>
      <c r="K8" s="17" t="inlineStr"/>
      <c r="L8" s="17" t="inlineStr"/>
      <c r="M8" s="28" t="inlineStr">
        <is>
          <t>OPEN</t>
        </is>
      </c>
      <c r="N8" s="17" t="inlineStr"/>
    </row>
    <row r="9">
      <c r="A9" s="28" t="n">
        <v>5</v>
      </c>
      <c r="B9" s="17" t="inlineStr">
        <is>
          <t>Baseline 25-08</t>
        </is>
      </c>
      <c r="C9" s="17" t="inlineStr">
        <is>
          <t>Planning · 400000455 ↔ 600007751 · 02/08 dependent demand · 2025-12 → 2026-01 (a+b only)</t>
        </is>
      </c>
      <c r="D9" s="17" t="n">
        <v>689.3099999999999</v>
      </c>
      <c r="E9" s="17" t="n">
        <v>492.84</v>
      </c>
      <c r="F9" s="19">
        <f>IF(AND(ISNUMBER(D9),ISNUMBER(E9)),E9-D9,"")</f>
        <v/>
      </c>
      <c r="G9" s="17" t="inlineStr">
        <is>
          <t>E · Alignment / timing</t>
        </is>
      </c>
      <c r="H9" s="28" t="inlineStr">
        <is>
          <t>Major</t>
        </is>
      </c>
      <c r="I9" s="17" t="inlineStr">
        <is>
          <t>196.47 moves from December to January (lead-time offset or a test edit on this pair). Check Edits Summary of the a+b export.</t>
        </is>
      </c>
      <c r="J9" s="17" t="inlineStr"/>
      <c r="K9" s="17" t="inlineStr"/>
      <c r="L9" s="17" t="inlineStr"/>
      <c r="M9" s="28" t="inlineStr">
        <is>
          <t>OPEN</t>
        </is>
      </c>
      <c r="N9" s="17" t="inlineStr"/>
    </row>
    <row r="10">
      <c r="A10" s="28" t="n">
        <v>6</v>
      </c>
      <c r="B10" s="17" t="inlineStr">
        <is>
          <t>Baseline 25-08</t>
        </is>
      </c>
      <c r="C10" s="17" t="inlineStr">
        <is>
          <t>Values_Planning · 13. Consolidation (a+b 50 cells, c+d 91 cells)</t>
        </is>
      </c>
      <c r="D10" s="17" t="inlineStr"/>
      <c r="E10" s="17" t="inlineStr"/>
      <c r="F10" s="19">
        <f>IF(AND(ISNUMBER(D10),ISNUMBER(E10)),E10-D10,"")</f>
        <v/>
      </c>
      <c r="G10" s="17" t="inlineStr"/>
      <c r="H10" s="28" t="inlineStr">
        <is>
          <t>Minor</t>
        </is>
      </c>
      <c r="I10" s="17" t="inlineStr">
        <is>
          <t>Derived from findings 1–5; disappears once those are explained.</t>
        </is>
      </c>
      <c r="J10" s="17" t="inlineStr">
        <is>
          <t>Re-run after 1–5</t>
        </is>
      </c>
      <c r="K10" s="17" t="inlineStr"/>
      <c r="L10" s="17" t="inlineStr"/>
      <c r="M10" s="28" t="inlineStr">
        <is>
          <t>OPEN</t>
        </is>
      </c>
      <c r="N10" s="17" t="inlineStr"/>
    </row>
    <row r="11">
      <c r="A11" s="28" t="n">
        <v>7</v>
      </c>
      <c r="B11" s="17" t="inlineStr"/>
      <c r="C11" s="17" t="inlineStr"/>
      <c r="D11" s="17" t="inlineStr"/>
      <c r="E11" s="17" t="inlineStr"/>
      <c r="F11" s="19">
        <f>IF(AND(ISNUMBER(D11),ISNUMBER(E11)),E11-D11,"")</f>
        <v/>
      </c>
      <c r="G11" s="17" t="inlineStr"/>
      <c r="H11" s="28" t="inlineStr"/>
      <c r="I11" s="17" t="inlineStr"/>
      <c r="J11" s="17" t="inlineStr"/>
      <c r="K11" s="17" t="inlineStr"/>
      <c r="L11" s="17" t="inlineStr"/>
      <c r="M11" s="28" t="inlineStr"/>
      <c r="N11" s="17" t="inlineStr"/>
    </row>
    <row r="12">
      <c r="A12" s="28" t="n">
        <v>8</v>
      </c>
      <c r="B12" s="17" t="inlineStr"/>
      <c r="C12" s="17" t="inlineStr"/>
      <c r="D12" s="17" t="inlineStr"/>
      <c r="E12" s="17" t="inlineStr"/>
      <c r="F12" s="19">
        <f>IF(AND(ISNUMBER(D12),ISNUMBER(E12)),E12-D12,"")</f>
        <v/>
      </c>
      <c r="G12" s="17" t="inlineStr"/>
      <c r="H12" s="28" t="inlineStr"/>
      <c r="I12" s="17" t="inlineStr"/>
      <c r="J12" s="17" t="inlineStr"/>
      <c r="K12" s="17" t="inlineStr"/>
      <c r="L12" s="17" t="inlineStr"/>
      <c r="M12" s="28" t="inlineStr"/>
      <c r="N12" s="17" t="inlineStr"/>
    </row>
    <row r="13">
      <c r="A13" s="28" t="n">
        <v>9</v>
      </c>
      <c r="B13" s="17" t="inlineStr"/>
      <c r="C13" s="17" t="inlineStr"/>
      <c r="D13" s="17" t="inlineStr"/>
      <c r="E13" s="17" t="inlineStr"/>
      <c r="F13" s="19">
        <f>IF(AND(ISNUMBER(D13),ISNUMBER(E13)),E13-D13,"")</f>
        <v/>
      </c>
      <c r="G13" s="17" t="inlineStr"/>
      <c r="H13" s="28" t="inlineStr"/>
      <c r="I13" s="17" t="inlineStr"/>
      <c r="J13" s="17" t="inlineStr"/>
      <c r="K13" s="17" t="inlineStr"/>
      <c r="L13" s="17" t="inlineStr"/>
      <c r="M13" s="28" t="inlineStr"/>
      <c r="N13" s="17" t="inlineStr"/>
    </row>
    <row r="14">
      <c r="A14" s="28" t="n">
        <v>10</v>
      </c>
      <c r="B14" s="17" t="inlineStr"/>
      <c r="C14" s="17" t="inlineStr"/>
      <c r="D14" s="17" t="inlineStr"/>
      <c r="E14" s="17" t="inlineStr"/>
      <c r="F14" s="19">
        <f>IF(AND(ISNUMBER(D14),ISNUMBER(E14)),E14-D14,"")</f>
        <v/>
      </c>
      <c r="G14" s="17" t="inlineStr"/>
      <c r="H14" s="28" t="inlineStr"/>
      <c r="I14" s="17" t="inlineStr"/>
      <c r="J14" s="17" t="inlineStr"/>
      <c r="K14" s="17" t="inlineStr"/>
      <c r="L14" s="17" t="inlineStr"/>
      <c r="M14" s="28" t="inlineStr"/>
      <c r="N14" s="17" t="inlineStr"/>
    </row>
    <row r="15">
      <c r="A15" s="28" t="n">
        <v>11</v>
      </c>
      <c r="B15" s="17" t="inlineStr"/>
      <c r="C15" s="17" t="inlineStr"/>
      <c r="D15" s="17" t="inlineStr"/>
      <c r="E15" s="17" t="inlineStr"/>
      <c r="F15" s="19">
        <f>IF(AND(ISNUMBER(D15),ISNUMBER(E15)),E15-D15,"")</f>
        <v/>
      </c>
      <c r="G15" s="17" t="inlineStr"/>
      <c r="H15" s="28" t="inlineStr"/>
      <c r="I15" s="17" t="inlineStr"/>
      <c r="J15" s="17" t="inlineStr"/>
      <c r="K15" s="17" t="inlineStr"/>
      <c r="L15" s="17" t="inlineStr"/>
      <c r="M15" s="28" t="inlineStr"/>
      <c r="N15" s="17" t="inlineStr"/>
    </row>
    <row r="16">
      <c r="A16" s="28" t="n">
        <v>12</v>
      </c>
      <c r="B16" s="17" t="inlineStr"/>
      <c r="C16" s="17" t="inlineStr"/>
      <c r="D16" s="17" t="inlineStr"/>
      <c r="E16" s="17" t="inlineStr"/>
      <c r="F16" s="19">
        <f>IF(AND(ISNUMBER(D16),ISNUMBER(E16)),E16-D16,"")</f>
        <v/>
      </c>
      <c r="G16" s="17" t="inlineStr"/>
      <c r="H16" s="28" t="inlineStr"/>
      <c r="I16" s="17" t="inlineStr"/>
      <c r="J16" s="17" t="inlineStr"/>
      <c r="K16" s="17" t="inlineStr"/>
      <c r="L16" s="17" t="inlineStr"/>
      <c r="M16" s="28" t="inlineStr"/>
      <c r="N16" s="17" t="inlineStr"/>
    </row>
    <row r="17">
      <c r="A17" s="28" t="n">
        <v>13</v>
      </c>
      <c r="B17" s="17" t="inlineStr"/>
      <c r="C17" s="17" t="inlineStr"/>
      <c r="D17" s="17" t="inlineStr"/>
      <c r="E17" s="17" t="inlineStr"/>
      <c r="F17" s="19">
        <f>IF(AND(ISNUMBER(D17),ISNUMBER(E17)),E17-D17,"")</f>
        <v/>
      </c>
      <c r="G17" s="17" t="inlineStr"/>
      <c r="H17" s="28" t="inlineStr"/>
      <c r="I17" s="17" t="inlineStr"/>
      <c r="J17" s="17" t="inlineStr"/>
      <c r="K17" s="17" t="inlineStr"/>
      <c r="L17" s="17" t="inlineStr"/>
      <c r="M17" s="28" t="inlineStr"/>
      <c r="N17" s="17" t="inlineStr"/>
    </row>
    <row r="18">
      <c r="A18" s="28" t="n">
        <v>14</v>
      </c>
      <c r="B18" s="17" t="inlineStr"/>
      <c r="C18" s="17" t="inlineStr"/>
      <c r="D18" s="17" t="inlineStr"/>
      <c r="E18" s="17" t="inlineStr"/>
      <c r="F18" s="19">
        <f>IF(AND(ISNUMBER(D18),ISNUMBER(E18)),E18-D18,"")</f>
        <v/>
      </c>
      <c r="G18" s="17" t="inlineStr"/>
      <c r="H18" s="28" t="inlineStr"/>
      <c r="I18" s="17" t="inlineStr"/>
      <c r="J18" s="17" t="inlineStr"/>
      <c r="K18" s="17" t="inlineStr"/>
      <c r="L18" s="17" t="inlineStr"/>
      <c r="M18" s="28" t="inlineStr"/>
      <c r="N18" s="17" t="inlineStr"/>
    </row>
    <row r="19">
      <c r="A19" s="28" t="n">
        <v>15</v>
      </c>
      <c r="B19" s="17" t="inlineStr"/>
      <c r="C19" s="17" t="inlineStr"/>
      <c r="D19" s="17" t="inlineStr"/>
      <c r="E19" s="17" t="inlineStr"/>
      <c r="F19" s="19">
        <f>IF(AND(ISNUMBER(D19),ISNUMBER(E19)),E19-D19,"")</f>
        <v/>
      </c>
      <c r="G19" s="17" t="inlineStr"/>
      <c r="H19" s="28" t="inlineStr"/>
      <c r="I19" s="17" t="inlineStr"/>
      <c r="J19" s="17" t="inlineStr"/>
      <c r="K19" s="17" t="inlineStr"/>
      <c r="L19" s="17" t="inlineStr"/>
      <c r="M19" s="28" t="inlineStr"/>
      <c r="N19" s="17" t="inlineStr"/>
    </row>
    <row r="20">
      <c r="A20" s="28" t="n">
        <v>16</v>
      </c>
      <c r="B20" s="17" t="inlineStr"/>
      <c r="C20" s="17" t="inlineStr"/>
      <c r="D20" s="17" t="inlineStr"/>
      <c r="E20" s="17" t="inlineStr"/>
      <c r="F20" s="19">
        <f>IF(AND(ISNUMBER(D20),ISNUMBER(E20)),E20-D20,"")</f>
        <v/>
      </c>
      <c r="G20" s="17" t="inlineStr"/>
      <c r="H20" s="28" t="inlineStr"/>
      <c r="I20" s="17" t="inlineStr"/>
      <c r="J20" s="17" t="inlineStr"/>
      <c r="K20" s="17" t="inlineStr"/>
      <c r="L20" s="17" t="inlineStr"/>
      <c r="M20" s="28" t="inlineStr"/>
      <c r="N20" s="17" t="inlineStr"/>
    </row>
    <row r="21">
      <c r="A21" s="28" t="n">
        <v>17</v>
      </c>
      <c r="B21" s="17" t="inlineStr"/>
      <c r="C21" s="17" t="inlineStr"/>
      <c r="D21" s="17" t="inlineStr"/>
      <c r="E21" s="17" t="inlineStr"/>
      <c r="F21" s="19">
        <f>IF(AND(ISNUMBER(D21),ISNUMBER(E21)),E21-D21,"")</f>
        <v/>
      </c>
      <c r="G21" s="17" t="inlineStr"/>
      <c r="H21" s="28" t="inlineStr"/>
      <c r="I21" s="17" t="inlineStr"/>
      <c r="J21" s="17" t="inlineStr"/>
      <c r="K21" s="17" t="inlineStr"/>
      <c r="L21" s="17" t="inlineStr"/>
      <c r="M21" s="28" t="inlineStr"/>
      <c r="N21" s="17" t="inlineStr"/>
    </row>
    <row r="22">
      <c r="A22" s="28" t="n">
        <v>18</v>
      </c>
      <c r="B22" s="17" t="inlineStr"/>
      <c r="C22" s="17" t="inlineStr"/>
      <c r="D22" s="17" t="inlineStr"/>
      <c r="E22" s="17" t="inlineStr"/>
      <c r="F22" s="19">
        <f>IF(AND(ISNUMBER(D22),ISNUMBER(E22)),E22-D22,"")</f>
        <v/>
      </c>
      <c r="G22" s="17" t="inlineStr"/>
      <c r="H22" s="28" t="inlineStr"/>
      <c r="I22" s="17" t="inlineStr"/>
      <c r="J22" s="17" t="inlineStr"/>
      <c r="K22" s="17" t="inlineStr"/>
      <c r="L22" s="17" t="inlineStr"/>
      <c r="M22" s="28" t="inlineStr"/>
      <c r="N22" s="17" t="inlineStr"/>
    </row>
    <row r="23">
      <c r="A23" s="28" t="n">
        <v>19</v>
      </c>
      <c r="B23" s="17" t="inlineStr"/>
      <c r="C23" s="17" t="inlineStr"/>
      <c r="D23" s="17" t="inlineStr"/>
      <c r="E23" s="17" t="inlineStr"/>
      <c r="F23" s="19">
        <f>IF(AND(ISNUMBER(D23),ISNUMBER(E23)),E23-D23,"")</f>
        <v/>
      </c>
      <c r="G23" s="17" t="inlineStr"/>
      <c r="H23" s="28" t="inlineStr"/>
      <c r="I23" s="17" t="inlineStr"/>
      <c r="J23" s="17" t="inlineStr"/>
      <c r="K23" s="17" t="inlineStr"/>
      <c r="L23" s="17" t="inlineStr"/>
      <c r="M23" s="28" t="inlineStr"/>
      <c r="N23" s="17" t="inlineStr"/>
    </row>
    <row r="24">
      <c r="A24" s="28" t="n">
        <v>20</v>
      </c>
      <c r="B24" s="17" t="inlineStr"/>
      <c r="C24" s="17" t="inlineStr"/>
      <c r="D24" s="17" t="inlineStr"/>
      <c r="E24" s="17" t="inlineStr"/>
      <c r="F24" s="19">
        <f>IF(AND(ISNUMBER(D24),ISNUMBER(E24)),E24-D24,"")</f>
        <v/>
      </c>
      <c r="G24" s="17" t="inlineStr"/>
      <c r="H24" s="28" t="inlineStr"/>
      <c r="I24" s="17" t="inlineStr"/>
      <c r="J24" s="17" t="inlineStr"/>
      <c r="K24" s="17" t="inlineStr"/>
      <c r="L24" s="17" t="inlineStr"/>
      <c r="M24" s="28" t="inlineStr"/>
      <c r="N24" s="17" t="inlineStr"/>
    </row>
    <row r="25">
      <c r="A25" s="28" t="n">
        <v>21</v>
      </c>
      <c r="B25" s="17" t="inlineStr"/>
      <c r="C25" s="17" t="inlineStr"/>
      <c r="D25" s="17" t="inlineStr"/>
      <c r="E25" s="17" t="inlineStr"/>
      <c r="F25" s="19">
        <f>IF(AND(ISNUMBER(D25),ISNUMBER(E25)),E25-D25,"")</f>
        <v/>
      </c>
      <c r="G25" s="17" t="inlineStr"/>
      <c r="H25" s="28" t="inlineStr"/>
      <c r="I25" s="17" t="inlineStr"/>
      <c r="J25" s="17" t="inlineStr"/>
      <c r="K25" s="17" t="inlineStr"/>
      <c r="L25" s="17" t="inlineStr"/>
      <c r="M25" s="28" t="inlineStr"/>
      <c r="N25" s="17" t="inlineStr"/>
    </row>
    <row r="26">
      <c r="A26" s="28" t="n">
        <v>22</v>
      </c>
      <c r="B26" s="17" t="inlineStr"/>
      <c r="C26" s="17" t="inlineStr"/>
      <c r="D26" s="17" t="inlineStr"/>
      <c r="E26" s="17" t="inlineStr"/>
      <c r="F26" s="19">
        <f>IF(AND(ISNUMBER(D26),ISNUMBER(E26)),E26-D26,"")</f>
        <v/>
      </c>
      <c r="G26" s="17" t="inlineStr"/>
      <c r="H26" s="28" t="inlineStr"/>
      <c r="I26" s="17" t="inlineStr"/>
      <c r="J26" s="17" t="inlineStr"/>
      <c r="K26" s="17" t="inlineStr"/>
      <c r="L26" s="17" t="inlineStr"/>
      <c r="M26" s="28" t="inlineStr"/>
      <c r="N26" s="17" t="inlineStr"/>
    </row>
    <row r="27">
      <c r="A27" s="28" t="n">
        <v>23</v>
      </c>
      <c r="B27" s="17" t="inlineStr"/>
      <c r="C27" s="17" t="inlineStr"/>
      <c r="D27" s="17" t="inlineStr"/>
      <c r="E27" s="17" t="inlineStr"/>
      <c r="F27" s="19">
        <f>IF(AND(ISNUMBER(D27),ISNUMBER(E27)),E27-D27,"")</f>
        <v/>
      </c>
      <c r="G27" s="17" t="inlineStr"/>
      <c r="H27" s="28" t="inlineStr"/>
      <c r="I27" s="17" t="inlineStr"/>
      <c r="J27" s="17" t="inlineStr"/>
      <c r="K27" s="17" t="inlineStr"/>
      <c r="L27" s="17" t="inlineStr"/>
      <c r="M27" s="28" t="inlineStr"/>
      <c r="N27" s="17" t="inlineStr"/>
    </row>
    <row r="28">
      <c r="A28" s="28" t="n">
        <v>24</v>
      </c>
      <c r="B28" s="17" t="inlineStr"/>
      <c r="C28" s="17" t="inlineStr"/>
      <c r="D28" s="17" t="inlineStr"/>
      <c r="E28" s="17" t="inlineStr"/>
      <c r="F28" s="19">
        <f>IF(AND(ISNUMBER(D28),ISNUMBER(E28)),E28-D28,"")</f>
        <v/>
      </c>
      <c r="G28" s="17" t="inlineStr"/>
      <c r="H28" s="28" t="inlineStr"/>
      <c r="I28" s="17" t="inlineStr"/>
      <c r="J28" s="17" t="inlineStr"/>
      <c r="K28" s="17" t="inlineStr"/>
      <c r="L28" s="17" t="inlineStr"/>
      <c r="M28" s="28" t="inlineStr"/>
      <c r="N28" s="17" t="inlineStr"/>
    </row>
    <row r="29">
      <c r="A29" s="28" t="n">
        <v>25</v>
      </c>
      <c r="B29" s="17" t="inlineStr"/>
      <c r="C29" s="17" t="inlineStr"/>
      <c r="D29" s="17" t="inlineStr"/>
      <c r="E29" s="17" t="inlineStr"/>
      <c r="F29" s="19">
        <f>IF(AND(ISNUMBER(D29),ISNUMBER(E29)),E29-D29,"")</f>
        <v/>
      </c>
      <c r="G29" s="17" t="inlineStr"/>
      <c r="H29" s="28" t="inlineStr"/>
      <c r="I29" s="17" t="inlineStr"/>
      <c r="J29" s="17" t="inlineStr"/>
      <c r="K29" s="17" t="inlineStr"/>
      <c r="L29" s="17" t="inlineStr"/>
      <c r="M29" s="28" t="inlineStr"/>
      <c r="N29" s="17" t="inlineStr"/>
    </row>
    <row r="30">
      <c r="A30" s="28" t="n">
        <v>26</v>
      </c>
      <c r="B30" s="17" t="inlineStr"/>
      <c r="C30" s="17" t="inlineStr"/>
      <c r="D30" s="17" t="inlineStr"/>
      <c r="E30" s="17" t="inlineStr"/>
      <c r="F30" s="19">
        <f>IF(AND(ISNUMBER(D30),ISNUMBER(E30)),E30-D30,"")</f>
        <v/>
      </c>
      <c r="G30" s="17" t="inlineStr"/>
      <c r="H30" s="28" t="inlineStr"/>
      <c r="I30" s="17" t="inlineStr"/>
      <c r="J30" s="17" t="inlineStr"/>
      <c r="K30" s="17" t="inlineStr"/>
      <c r="L30" s="17" t="inlineStr"/>
      <c r="M30" s="28" t="inlineStr"/>
      <c r="N30" s="17" t="inlineStr"/>
    </row>
    <row r="31">
      <c r="A31" s="28" t="n">
        <v>27</v>
      </c>
      <c r="B31" s="17" t="inlineStr"/>
      <c r="C31" s="17" t="inlineStr"/>
      <c r="D31" s="17" t="inlineStr"/>
      <c r="E31" s="17" t="inlineStr"/>
      <c r="F31" s="19">
        <f>IF(AND(ISNUMBER(D31),ISNUMBER(E31)),E31-D31,"")</f>
        <v/>
      </c>
      <c r="G31" s="17" t="inlineStr"/>
      <c r="H31" s="28" t="inlineStr"/>
      <c r="I31" s="17" t="inlineStr"/>
      <c r="J31" s="17" t="inlineStr"/>
      <c r="K31" s="17" t="inlineStr"/>
      <c r="L31" s="17" t="inlineStr"/>
      <c r="M31" s="28" t="inlineStr"/>
      <c r="N31" s="17" t="inlineStr"/>
    </row>
    <row r="32">
      <c r="A32" s="28" t="n">
        <v>28</v>
      </c>
      <c r="B32" s="17" t="inlineStr"/>
      <c r="C32" s="17" t="inlineStr"/>
      <c r="D32" s="17" t="inlineStr"/>
      <c r="E32" s="17" t="inlineStr"/>
      <c r="F32" s="19">
        <f>IF(AND(ISNUMBER(D32),ISNUMBER(E32)),E32-D32,"")</f>
        <v/>
      </c>
      <c r="G32" s="17" t="inlineStr"/>
      <c r="H32" s="28" t="inlineStr"/>
      <c r="I32" s="17" t="inlineStr"/>
      <c r="J32" s="17" t="inlineStr"/>
      <c r="K32" s="17" t="inlineStr"/>
      <c r="L32" s="17" t="inlineStr"/>
      <c r="M32" s="28" t="inlineStr"/>
      <c r="N32" s="17" t="inlineStr"/>
    </row>
    <row r="33">
      <c r="A33" s="28" t="n">
        <v>29</v>
      </c>
      <c r="B33" s="17" t="inlineStr"/>
      <c r="C33" s="17" t="inlineStr"/>
      <c r="D33" s="17" t="inlineStr"/>
      <c r="E33" s="17" t="inlineStr"/>
      <c r="F33" s="19">
        <f>IF(AND(ISNUMBER(D33),ISNUMBER(E33)),E33-D33,"")</f>
        <v/>
      </c>
      <c r="G33" s="17" t="inlineStr"/>
      <c r="H33" s="28" t="inlineStr"/>
      <c r="I33" s="17" t="inlineStr"/>
      <c r="J33" s="17" t="inlineStr"/>
      <c r="K33" s="17" t="inlineStr"/>
      <c r="L33" s="17" t="inlineStr"/>
      <c r="M33" s="28" t="inlineStr"/>
      <c r="N33" s="17" t="inlineStr"/>
    </row>
    <row r="34">
      <c r="A34" s="28" t="n">
        <v>30</v>
      </c>
      <c r="B34" s="17" t="inlineStr"/>
      <c r="C34" s="17" t="inlineStr"/>
      <c r="D34" s="17" t="inlineStr"/>
      <c r="E34" s="17" t="inlineStr"/>
      <c r="F34" s="19">
        <f>IF(AND(ISNUMBER(D34),ISNUMBER(E34)),E34-D34,"")</f>
        <v/>
      </c>
      <c r="G34" s="17" t="inlineStr"/>
      <c r="H34" s="28" t="inlineStr"/>
      <c r="I34" s="17" t="inlineStr"/>
      <c r="J34" s="17" t="inlineStr"/>
      <c r="K34" s="17" t="inlineStr"/>
      <c r="L34" s="17" t="inlineStr"/>
      <c r="M34" s="28" t="inlineStr"/>
      <c r="N34" s="17" t="inlineStr"/>
    </row>
    <row r="35">
      <c r="A35" s="28" t="n">
        <v>31</v>
      </c>
      <c r="B35" s="17" t="inlineStr"/>
      <c r="C35" s="17" t="inlineStr"/>
      <c r="D35" s="17" t="inlineStr"/>
      <c r="E35" s="17" t="inlineStr"/>
      <c r="F35" s="19">
        <f>IF(AND(ISNUMBER(D35),ISNUMBER(E35)),E35-D35,"")</f>
        <v/>
      </c>
      <c r="G35" s="17" t="inlineStr"/>
      <c r="H35" s="28" t="inlineStr"/>
      <c r="I35" s="17" t="inlineStr"/>
      <c r="J35" s="17" t="inlineStr"/>
      <c r="K35" s="17" t="inlineStr"/>
      <c r="L35" s="17" t="inlineStr"/>
      <c r="M35" s="28" t="inlineStr"/>
      <c r="N35" s="17" t="inlineStr"/>
    </row>
    <row r="36">
      <c r="A36" s="28" t="n">
        <v>32</v>
      </c>
      <c r="B36" s="17" t="inlineStr"/>
      <c r="C36" s="17" t="inlineStr"/>
      <c r="D36" s="17" t="inlineStr"/>
      <c r="E36" s="17" t="inlineStr"/>
      <c r="F36" s="19">
        <f>IF(AND(ISNUMBER(D36),ISNUMBER(E36)),E36-D36,"")</f>
        <v/>
      </c>
      <c r="G36" s="17" t="inlineStr"/>
      <c r="H36" s="28" t="inlineStr"/>
      <c r="I36" s="17" t="inlineStr"/>
      <c r="J36" s="17" t="inlineStr"/>
      <c r="K36" s="17" t="inlineStr"/>
      <c r="L36" s="17" t="inlineStr"/>
      <c r="M36" s="28" t="inlineStr"/>
      <c r="N36" s="17" t="inlineStr"/>
    </row>
    <row r="37">
      <c r="A37" s="28" t="n">
        <v>33</v>
      </c>
      <c r="B37" s="17" t="inlineStr"/>
      <c r="C37" s="17" t="inlineStr"/>
      <c r="D37" s="17" t="inlineStr"/>
      <c r="E37" s="17" t="inlineStr"/>
      <c r="F37" s="19">
        <f>IF(AND(ISNUMBER(D37),ISNUMBER(E37)),E37-D37,"")</f>
        <v/>
      </c>
      <c r="G37" s="17" t="inlineStr"/>
      <c r="H37" s="28" t="inlineStr"/>
      <c r="I37" s="17" t="inlineStr"/>
      <c r="J37" s="17" t="inlineStr"/>
      <c r="K37" s="17" t="inlineStr"/>
      <c r="L37" s="17" t="inlineStr"/>
      <c r="M37" s="28" t="inlineStr"/>
      <c r="N37" s="17" t="inlineStr"/>
    </row>
    <row r="38">
      <c r="A38" s="28" t="n">
        <v>34</v>
      </c>
      <c r="B38" s="17" t="inlineStr"/>
      <c r="C38" s="17" t="inlineStr"/>
      <c r="D38" s="17" t="inlineStr"/>
      <c r="E38" s="17" t="inlineStr"/>
      <c r="F38" s="19">
        <f>IF(AND(ISNUMBER(D38),ISNUMBER(E38)),E38-D38,"")</f>
        <v/>
      </c>
      <c r="G38" s="17" t="inlineStr"/>
      <c r="H38" s="28" t="inlineStr"/>
      <c r="I38" s="17" t="inlineStr"/>
      <c r="J38" s="17" t="inlineStr"/>
      <c r="K38" s="17" t="inlineStr"/>
      <c r="L38" s="17" t="inlineStr"/>
      <c r="M38" s="28" t="inlineStr"/>
      <c r="N38" s="17" t="inlineStr"/>
    </row>
    <row r="39">
      <c r="A39" s="28" t="n">
        <v>35</v>
      </c>
      <c r="B39" s="17" t="inlineStr"/>
      <c r="C39" s="17" t="inlineStr"/>
      <c r="D39" s="17" t="inlineStr"/>
      <c r="E39" s="17" t="inlineStr"/>
      <c r="F39" s="19">
        <f>IF(AND(ISNUMBER(D39),ISNUMBER(E39)),E39-D39,"")</f>
        <v/>
      </c>
      <c r="G39" s="17" t="inlineStr"/>
      <c r="H39" s="28" t="inlineStr"/>
      <c r="I39" s="17" t="inlineStr"/>
      <c r="J39" s="17" t="inlineStr"/>
      <c r="K39" s="17" t="inlineStr"/>
      <c r="L39" s="17" t="inlineStr"/>
      <c r="M39" s="28" t="inlineStr"/>
      <c r="N39" s="17" t="inlineStr"/>
    </row>
    <row r="40">
      <c r="A40" s="28" t="n">
        <v>36</v>
      </c>
      <c r="B40" s="17" t="inlineStr"/>
      <c r="C40" s="17" t="inlineStr"/>
      <c r="D40" s="17" t="inlineStr"/>
      <c r="E40" s="17" t="inlineStr"/>
      <c r="F40" s="19">
        <f>IF(AND(ISNUMBER(D40),ISNUMBER(E40)),E40-D40,"")</f>
        <v/>
      </c>
      <c r="G40" s="17" t="inlineStr"/>
      <c r="H40" s="28" t="inlineStr"/>
      <c r="I40" s="17" t="inlineStr"/>
      <c r="J40" s="17" t="inlineStr"/>
      <c r="K40" s="17" t="inlineStr"/>
      <c r="L40" s="17" t="inlineStr"/>
      <c r="M40" s="28" t="inlineStr"/>
      <c r="N40" s="17" t="inlineStr"/>
    </row>
  </sheetData>
  <autoFilter ref="A4:N4"/>
  <mergeCells count="2">
    <mergeCell ref="A2:N2"/>
    <mergeCell ref="A1:N1"/>
  </mergeCells>
  <conditionalFormatting sqref="M5:M40">
    <cfRule type="cellIs" priority="1" operator="equal" dxfId="0">
      <formula>"OPEN"</formula>
    </cfRule>
    <cfRule type="cellIs" priority="2" operator="equal" dxfId="1">
      <formula>"CLOSED"</formula>
    </cfRule>
  </conditionalFormatting>
  <conditionalFormatting sqref="G5:G40">
    <cfRule type="expression" priority="3" dxfId="0">
      <formula>LEFT(G5,1)="A"</formula>
    </cfRule>
    <cfRule type="expression" priority="4" dxfId="2">
      <formula>LEFT(G5,1)="B"</formula>
    </cfRule>
  </conditionalFormatting>
  <dataValidations count="3">
    <dataValidation sqref="G5:G40" showDropDown="0" showInputMessage="0" showErrorMessage="0" allowBlank="1" type="list">
      <formula1>"A · App defect,B · Ground-truth error,C · Definition difference,D · Presentation / rounding,E · Alignment / timing,F · Test artefact"</formula1>
    </dataValidation>
    <dataValidation sqref="H5:H40" showDropDown="0" showInputMessage="0" showErrorMessage="0" allowBlank="1" type="list">
      <formula1>"Blocking,Major,Minor"</formula1>
    </dataValidation>
    <dataValidation sqref="M5:M40" showDropDown="0" showInputMessage="0" showErrorMessage="0" allowBlank="1" type="list">
      <formula1>"OPEN,IN ANALYSIS,DECIDED,FIXED,CLOSED"</formula1>
    </dataValidation>
  </dataValidation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2F5D8A"/>
    <outlinePr summaryBelow="1" summaryRight="1"/>
    <pageSetUpPr/>
  </sheetPr>
  <dimension ref="A2:E33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44" customWidth="1" min="2" max="2"/>
    <col width="14" customWidth="1" min="3" max="3"/>
    <col width="40" customWidth="1" min="4" max="4"/>
    <col width="40" customWidth="1" min="5" max="5"/>
  </cols>
  <sheetData>
    <row r="2">
      <c r="B2" s="16" t="inlineStr">
        <is>
          <t>Sign-off (§10.4)</t>
        </is>
      </c>
    </row>
    <row r="3">
      <c r="B3" s="2" t="inlineStr">
        <is>
          <t>Fill in after R7. A release is allowed only when all release criteria on the COVER are met.</t>
        </is>
      </c>
    </row>
    <row r="5">
      <c r="B5" s="4" t="inlineStr">
        <is>
          <t>Version / commit</t>
        </is>
      </c>
      <c r="C5" s="29" t="inlineStr"/>
    </row>
    <row r="6">
      <c r="B6" s="4" t="inlineStr">
        <is>
          <t>Site(s)</t>
        </is>
      </c>
      <c r="C6" s="29" t="inlineStr"/>
    </row>
    <row r="7">
      <c r="B7" s="4" t="inlineStr">
        <is>
          <t>GT-ID(s)</t>
        </is>
      </c>
      <c r="C7" s="29" t="inlineStr"/>
    </row>
    <row r="8">
      <c r="B8" s="4" t="inlineStr">
        <is>
          <t>Evidence folder</t>
        </is>
      </c>
      <c r="C8" s="29" t="inlineStr"/>
    </row>
    <row r="10">
      <c r="B10" s="7" t="inlineStr">
        <is>
          <t>Step</t>
        </is>
      </c>
      <c r="C10" s="7" t="inlineStr">
        <is>
          <t>Executed</t>
        </is>
      </c>
      <c r="D10" s="7" t="inlineStr">
        <is>
          <t>Result (Δ=0 / findings: …)</t>
        </is>
      </c>
      <c r="E10" s="7" t="inlineStr">
        <is>
          <t>Remark</t>
        </is>
      </c>
    </row>
    <row r="11">
      <c r="A11" s="30" t="inlineStr"/>
      <c r="B11" s="25" t="inlineStr">
        <is>
          <t>R1 Baseline parity</t>
        </is>
      </c>
      <c r="C11" s="28" t="inlineStr"/>
      <c r="D11" s="17" t="inlineStr"/>
      <c r="E11" s="17" t="inlineStr"/>
    </row>
    <row r="12">
      <c r="A12" s="30" t="inlineStr"/>
      <c r="B12" s="25" t="inlineStr">
        <is>
          <t>R2 Calculation chains K1–K5</t>
        </is>
      </c>
      <c r="C12" s="28" t="inlineStr"/>
      <c r="D12" s="17" t="inlineStr"/>
      <c r="E12" s="17" t="inlineStr"/>
    </row>
    <row r="13">
      <c r="A13" s="30" t="inlineStr"/>
      <c r="B13" s="25" t="inlineStr">
        <is>
          <t>R3 Mirror edits (n = …)</t>
        </is>
      </c>
      <c r="C13" s="28" t="inlineStr"/>
      <c r="D13" s="17" t="inlineStr"/>
      <c r="E13" s="17" t="inlineStr"/>
    </row>
    <row r="14">
      <c r="A14" s="30" t="inlineStr"/>
      <c r="B14" s="25" t="inlineStr">
        <is>
          <t>R4 Invariants I1–I11</t>
        </is>
      </c>
      <c r="C14" s="28" t="inlineStr"/>
      <c r="D14" s="17" t="inlineStr"/>
      <c r="E14" s="17" t="inlineStr"/>
    </row>
    <row r="15">
      <c r="A15" s="30" t="inlineStr"/>
      <c r="B15" s="25" t="inlineStr">
        <is>
          <t>R5 Site editions (WSK / ANK)</t>
        </is>
      </c>
      <c r="C15" s="28" t="inlineStr"/>
      <c r="D15" s="17" t="inlineStr"/>
      <c r="E15" s="17" t="inlineStr"/>
    </row>
    <row r="16">
      <c r="A16" s="30" t="inlineStr"/>
      <c r="B16" s="25" t="inlineStr">
        <is>
          <t>R6 Persistence / restart</t>
        </is>
      </c>
      <c r="C16" s="28" t="inlineStr"/>
      <c r="D16" s="17" t="inlineStr"/>
      <c r="E16" s="17" t="inlineStr"/>
    </row>
    <row r="17">
      <c r="A17" s="30" t="inlineStr"/>
      <c r="B17" s="25" t="inlineStr">
        <is>
          <t>Engine checks (119)</t>
        </is>
      </c>
      <c r="C17" s="28" t="inlineStr"/>
      <c r="D17" s="17" t="inlineStr"/>
      <c r="E17" s="17" t="inlineStr"/>
    </row>
    <row r="18">
      <c r="A18" s="30" t="inlineStr"/>
      <c r="B18" s="25" t="inlineStr">
        <is>
          <t>Scenario sessions A/B</t>
        </is>
      </c>
      <c r="C18" s="28" t="inlineStr"/>
      <c r="D18" s="17" t="inlineStr"/>
      <c r="E18" s="17" t="inlineStr"/>
    </row>
    <row r="19">
      <c r="A19" s="30" t="inlineStr"/>
      <c r="B19" s="25" t="inlineStr">
        <is>
          <t>Human tests A–K</t>
        </is>
      </c>
      <c r="C19" s="28" t="inlineStr"/>
      <c r="D19" s="17" t="inlineStr"/>
      <c r="E19" s="17" t="inlineStr"/>
    </row>
    <row r="20">
      <c r="A20" s="30" t="inlineStr"/>
      <c r="B20" s="25" t="inlineStr">
        <is>
          <t>main.py --test + pytest (GT-E)</t>
        </is>
      </c>
      <c r="C20" s="28" t="inlineStr"/>
      <c r="D20" s="17" t="inlineStr"/>
      <c r="E20" s="17" t="inlineStr"/>
    </row>
    <row r="22">
      <c r="B22" s="4" t="inlineStr">
        <is>
          <t>Open class-A findings (must be 0)</t>
        </is>
      </c>
      <c r="C22" s="29">
        <f>COUNTIFS('Deviation Register'!G:G,"A*",'Deviation Register'!M:M,"OPEN")</f>
        <v/>
      </c>
    </row>
    <row r="23">
      <c r="B23" s="4" t="inlineStr">
        <is>
          <t>Open class-C decisions</t>
        </is>
      </c>
      <c r="C23" s="29">
        <f>COUNTIFS('Deviation Register'!G:G,"C*",'Deviation Register'!M:M,"&lt;&gt;CLOSED")</f>
        <v/>
      </c>
    </row>
    <row r="24">
      <c r="B24" s="4" t="inlineStr">
        <is>
          <t>Errata (class B)</t>
        </is>
      </c>
      <c r="C24" s="29">
        <f>COUNTIF('Deviation Register'!G:G,"B*")</f>
        <v/>
      </c>
    </row>
    <row r="26">
      <c r="B26" s="3" t="inlineStr">
        <is>
          <t>Final verdict</t>
        </is>
      </c>
    </row>
    <row r="27">
      <c r="B27" s="29" t="inlineStr">
        <is>
          <t>☐ release      ☐ release with decisions      ☐ do not release</t>
        </is>
      </c>
      <c r="C27" s="23" t="n"/>
      <c r="D27" s="23" t="n"/>
      <c r="E27" s="24" t="n"/>
    </row>
    <row r="29">
      <c r="B29" s="7" t="inlineStr">
        <is>
          <t>Role</t>
        </is>
      </c>
      <c r="C29" s="7" t="inlineStr">
        <is>
          <t>Name</t>
        </is>
      </c>
      <c r="D29" s="7" t="inlineStr">
        <is>
          <t>Date</t>
        </is>
      </c>
      <c r="E29" s="7" t="inlineStr">
        <is>
          <t>Signature</t>
        </is>
      </c>
    </row>
    <row r="30">
      <c r="A30" s="30" t="inlineStr"/>
      <c r="B30" s="25" t="inlineStr">
        <is>
          <t>Validator</t>
        </is>
      </c>
      <c r="C30" s="17" t="inlineStr"/>
      <c r="D30" s="17" t="inlineStr"/>
      <c r="E30" s="17" t="inlineStr"/>
    </row>
    <row r="31">
      <c r="A31" s="30" t="inlineStr"/>
      <c r="B31" s="25" t="inlineStr">
        <is>
          <t>Developer</t>
        </is>
      </c>
      <c r="C31" s="17" t="inlineStr"/>
      <c r="D31" s="17" t="inlineStr"/>
      <c r="E31" s="17" t="inlineStr"/>
    </row>
    <row r="32">
      <c r="A32" s="30" t="inlineStr"/>
      <c r="B32" s="25" t="inlineStr">
        <is>
          <t>Reviewer</t>
        </is>
      </c>
      <c r="C32" s="17" t="inlineStr"/>
      <c r="D32" s="17" t="inlineStr"/>
      <c r="E32" s="17" t="inlineStr"/>
    </row>
    <row r="33">
      <c r="A33" s="30" t="inlineStr"/>
      <c r="B33" s="25" t="inlineStr">
        <is>
          <t>Client (for class-C decisions)</t>
        </is>
      </c>
      <c r="C33" s="17" t="inlineStr"/>
      <c r="D33" s="17" t="inlineStr"/>
      <c r="E33" s="17" t="inlineStr"/>
    </row>
  </sheetData>
  <mergeCells count="5">
    <mergeCell ref="B27:E27"/>
    <mergeCell ref="C5:E5"/>
    <mergeCell ref="C8:E8"/>
    <mergeCell ref="C7:E7"/>
    <mergeCell ref="C6:E6"/>
  </mergeCells>
  <dataValidations count="1">
    <dataValidation sqref="C11:C20" showDropDown="0" showInputMessage="0" showErrorMessage="0" allowBlank="1" type="list">
      <formula1>"YES,NO,PARTLY"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2026-08-25T08:49:34Z</dcterms:created>
  <dcterms:modified xmlns:dcterms="http://purl.org/dc/terms/" xmlns:xsi="http://www.w3.org/2001/XMLSchema-instance" xsi:type="dcterms:W3CDTF">2026-08-25T08:49:35Z</dcterms:modified>
</cp:coreProperties>
</file>